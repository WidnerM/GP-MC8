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Repos\GP-MC8\"/>
    </mc:Choice>
  </mc:AlternateContent>
  <xr:revisionPtr revIDLastSave="0" documentId="13_ncr:1_{DC71B81B-4A52-4DF3-9E47-7B5CD5AFB7D8}" xr6:coauthVersionLast="47" xr6:coauthVersionMax="47" xr10:uidLastSave="{00000000-0000-0000-0000-000000000000}"/>
  <bookViews>
    <workbookView xWindow="4224" yWindow="552" windowWidth="22836" windowHeight="16104" activeTab="1" xr2:uid="{56E39AF8-6418-407B-9310-71F386DDA373}"/>
  </bookViews>
  <sheets>
    <sheet name="theory" sheetId="1" r:id="rId1"/>
    <sheet name="practice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3" i="2"/>
  <c r="O13" i="3"/>
  <c r="M13" i="3"/>
  <c r="K13" i="3"/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1" i="3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E3" i="2"/>
  <c r="D3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1" i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3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3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1" i="1"/>
</calcChain>
</file>

<file path=xl/sharedStrings.xml><?xml version="1.0" encoding="utf-8"?>
<sst xmlns="http://schemas.openxmlformats.org/spreadsheetml/2006/main" count="383" uniqueCount="288">
  <si>
    <t>BLACK</t>
  </si>
  <si>
    <t>GREEN</t>
  </si>
  <si>
    <t>BLUE</t>
  </si>
  <si>
    <t>PURPLE</t>
  </si>
  <si>
    <t>YELLOW</t>
  </si>
  <si>
    <t>PINK</t>
  </si>
  <si>
    <t>GRAY</t>
  </si>
  <si>
    <t>WHITE</t>
  </si>
  <si>
    <t>ORANGE</t>
  </si>
  <si>
    <t>RED</t>
  </si>
  <si>
    <t>LIGHT BLUE</t>
  </si>
  <si>
    <t>DARK PINK</t>
  </si>
  <si>
    <t>PALE GREEN</t>
  </si>
  <si>
    <t>PALE PURPLE</t>
  </si>
  <si>
    <t>DARK GREEN</t>
  </si>
  <si>
    <t>AQUA</t>
  </si>
  <si>
    <t>TURQUOISE</t>
  </si>
  <si>
    <t>STEEL BLUE</t>
  </si>
  <si>
    <t>LIGHT STEEL BLUE</t>
  </si>
  <si>
    <t>TAN</t>
  </si>
  <si>
    <t>BROWN</t>
  </si>
  <si>
    <t>CORNSILK</t>
  </si>
  <si>
    <t>MAROON</t>
  </si>
  <si>
    <t>LAVENDER</t>
  </si>
  <si>
    <t>TEAL</t>
  </si>
  <si>
    <t>DARK SEA GREEN</t>
  </si>
  <si>
    <t>FOREST GREEN</t>
  </si>
  <si>
    <t>OLIVE</t>
  </si>
  <si>
    <t>INDIGO</t>
  </si>
  <si>
    <t>BLUE VIOLET</t>
  </si>
  <si>
    <t>THISTLE</t>
  </si>
  <si>
    <t>REBECCA PURPLE</t>
  </si>
  <si>
    <t>GOLD</t>
  </si>
  <si>
    <t>KHAKI</t>
  </si>
  <si>
    <t>DARK KHAKI</t>
  </si>
  <si>
    <t>LIGHT YELLOW</t>
  </si>
  <si>
    <t>LIGHT SALMON</t>
  </si>
  <si>
    <t>TOMATO</t>
  </si>
  <si>
    <t>ORANGE RED</t>
  </si>
  <si>
    <t>DARK ORANGE</t>
  </si>
  <si>
    <t>INDIAN RED</t>
  </si>
  <si>
    <t>SALMON</t>
  </si>
  <si>
    <t>FIRE BRICK</t>
  </si>
  <si>
    <t>DARK RED</t>
  </si>
  <si>
    <t>LIGHT PINK</t>
  </si>
  <si>
    <t>HOT PINK</t>
  </si>
  <si>
    <t>PALE VIOLET RED</t>
  </si>
  <si>
    <t>SLATE GRAY</t>
  </si>
  <si>
    <t>LIGHT GRAY</t>
  </si>
  <si>
    <t>#cd5c5c</t>
  </si>
  <si>
    <t>#fa8072</t>
  </si>
  <si>
    <t>#ff0000</t>
  </si>
  <si>
    <t>#b22222</t>
  </si>
  <si>
    <t>#8b0000</t>
  </si>
  <si>
    <t>#ffb6c1</t>
  </si>
  <si>
    <t>#ff69b4</t>
  </si>
  <si>
    <t>#ff1493</t>
  </si>
  <si>
    <t>#db7093</t>
  </si>
  <si>
    <t>#ffa07a</t>
  </si>
  <si>
    <t>#ff6347</t>
  </si>
  <si>
    <t>#ff4500</t>
  </si>
  <si>
    <t>#ff8c00</t>
  </si>
  <si>
    <t>#ffa500</t>
  </si>
  <si>
    <t>#ffd700</t>
  </si>
  <si>
    <t>#ffff00</t>
  </si>
  <si>
    <t>#ffffe0</t>
  </si>
  <si>
    <t>#f0e68c</t>
  </si>
  <si>
    <t>#bdb76b</t>
  </si>
  <si>
    <t>#e6e6fa</t>
  </si>
  <si>
    <t>#d8bfd8</t>
  </si>
  <si>
    <t>#da70d6</t>
  </si>
  <si>
    <t>#663399</t>
  </si>
  <si>
    <t>#8a2be2</t>
  </si>
  <si>
    <t>#800080</t>
  </si>
  <si>
    <t>#4b0082</t>
  </si>
  <si>
    <t>#7b68ee</t>
  </si>
  <si>
    <t>#00ff00</t>
  </si>
  <si>
    <t>#228b22</t>
  </si>
  <si>
    <t>#6b8e23</t>
  </si>
  <si>
    <t>#808000</t>
  </si>
  <si>
    <t>#8fbc8f</t>
  </si>
  <si>
    <t>#0000ff</t>
  </si>
  <si>
    <t>#00ffff</t>
  </si>
  <si>
    <t>#40e0d0</t>
  </si>
  <si>
    <t>#5f9ea0</t>
  </si>
  <si>
    <t>#4682b4</t>
  </si>
  <si>
    <t>#b0c4de</t>
  </si>
  <si>
    <t>#87ceeb</t>
  </si>
  <si>
    <t>#fff8dc</t>
  </si>
  <si>
    <t>#d2b48c</t>
  </si>
  <si>
    <t>#a52a2a</t>
  </si>
  <si>
    <t>#800000</t>
  </si>
  <si>
    <t>#d3d3d3</t>
  </si>
  <si>
    <t>#808080</t>
  </si>
  <si>
    <t>#708090</t>
  </si>
  <si>
    <t>#ffffff</t>
  </si>
  <si>
    <t>#006400</t>
  </si>
  <si>
    <t>#008080</t>
  </si>
  <si>
    <t>#000000</t>
  </si>
  <si>
    <t>0000   f0 00 21 24 09 00 06 11 00 0e 00 00 00 00 00 00</t>
  </si>
  <si>
    <t>0010   7f 00 03 01 0e 00 7f 01 17 00 24 07 2c 2f 01 01</t>
  </si>
  <si>
    <t>0020   02 00 00 00 00 00 00 00 00 00 00 00 00 00 00 00</t>
  </si>
  <si>
    <t>0030   7f 01 17 01 24 07 36 07 01 02 02 00 00 00 00 00</t>
  </si>
  <si>
    <t>0040   00 00 00 00 00 00 00 00 00 00 7f 01 17 02 24 07</t>
  </si>
  <si>
    <t>0050   00 07 01 03 02 00 00 00 00 00 00 00 00 00 00 00</t>
  </si>
  <si>
    <t>0060   00 00 00 00 7f 01 17 03 0e 03 00 00 01 07 02 00</t>
  </si>
  <si>
    <t>0070   00 00 00 00 00 00 00 00 00 00 00 00 00 00 7f 01</t>
  </si>
  <si>
    <t>0080   17 04 0e 04 00 00 01 08 02 00 00 00 00 00 00 00</t>
  </si>
  <si>
    <t>0090   00 00 00 00 00 00 00 00 7f 01 17 05 00 00 00 00</t>
  </si>
  <si>
    <t>00a0   01 00 02 00 00 00 00 00 00 00 00 00 00 00 00 00</t>
  </si>
  <si>
    <t>00b0   00 00 7f 01 17 06 00 00 00 00 01 00 02 00 00 00</t>
  </si>
  <si>
    <t>00c0   00 00 00 00 00 00 00 00 00 00 00 00 7f 01 17 07</t>
  </si>
  <si>
    <t>00d0   00 00 00 00 01 00 02 00 00 00 00 00 00 00 00 00</t>
  </si>
  <si>
    <t>00e0   00 00 00 00 00 00 7f 01 17 08 00 00 00 00 01 00</t>
  </si>
  <si>
    <t>00f0   02 00 00 00 00 00 00 00 00 00 00 00 00 00 00 00</t>
  </si>
  <si>
    <t>0100   7f 01 17 09 00 00 00 00 01 00 02 00 00 00 00 00</t>
  </si>
  <si>
    <t>0110   00 00 00 00 00 00 00 00 00 00 7f 01 17 0a 00 00</t>
  </si>
  <si>
    <t>0120   00 00 01 00 02 00 00 00 00 00 00 00 00 00 00 00</t>
  </si>
  <si>
    <t>0130   00 00 00 00 7f 01 17 0b 00 00 00 00 01 00 02 00</t>
  </si>
  <si>
    <t>0140   00 00 00 00 00 00 00 00 00 00 00 00 00 00 7f 01</t>
  </si>
  <si>
    <t>0150   17 0c 00 00 00 00 01 00 02 00 00 00 00 00 00 00</t>
  </si>
  <si>
    <t>0160   00 00 00 00 00 00 00 00 7f 01 17 0d 00 00 00 00</t>
  </si>
  <si>
    <t>0170   01 00 02 00 00 00 00 00 00 00 00 00 00 00 00 00</t>
  </si>
  <si>
    <t>0180   00 00 7f 01 17 0e 00 00 00 00 01 00 02 00 00 00</t>
  </si>
  <si>
    <t>0190   00 00 00 00 00 00 00 00 00 00 00 00 7f 01 17 0f</t>
  </si>
  <si>
    <t>01a0   00 00 00 00 01 00 02 00 00 00 00 00 00 00 00 00</t>
  </si>
  <si>
    <t>01b0   00 00 00 00 00 00 7f 01 17 10 00 00 00 00 01 00</t>
  </si>
  <si>
    <t>01c0   02 00 00 00 00 00 00 00 00 00 00 00 00 00 00 00</t>
  </si>
  <si>
    <t>01d0   7f 01 17 11 00 00 00 00 01 00 02 00 00 00 00 00</t>
  </si>
  <si>
    <t>01e0   00 00 00 00 00 00 00 00 00 00 7f 01 17 12 00 00</t>
  </si>
  <si>
    <t>01f0   00 00 01 00 02 00 00 00 00 00 00 00 00 00 00 00</t>
  </si>
  <si>
    <t>0200   00 00 00 00 7f 01 17 13 00 00 00 00 01 00 02 00</t>
  </si>
  <si>
    <t>0210   00 00 00 00 00 00 00 00 00 00 00 00 00 00 7f 01</t>
  </si>
  <si>
    <t>0220   17 14 00 00 00 00 01 00 02 00 00 00 00 00 00 00</t>
  </si>
  <si>
    <t>0230   00 00 00 00 00 00 00 00 7f 01 17 15 00 00 00 00</t>
  </si>
  <si>
    <t>0240   01 00 02 00 00 00 00 00 00 00 00 00 00 00 00 00</t>
  </si>
  <si>
    <t>0250   00 00 7f 01 17 16 00 00 00 00 01 00 02 00 00 00</t>
  </si>
  <si>
    <t>0260   00 00 00 00 00 00 00 00 00 00 00 00 7f 01 17 17</t>
  </si>
  <si>
    <t>0270   00 00 00 00 01 00 02 00 00 00 00 00 00 00 00 00</t>
  </si>
  <si>
    <t>0280   00 00 00 00 00 00 7f 01 17 18 00 00 00 00 01 00</t>
  </si>
  <si>
    <t>0290   02 00 00 00 00 00 00 00 00 00 00 00 00 00 00 00</t>
  </si>
  <si>
    <t>02a0   7f 01 17 19 00 00 00 00 01 00 02 00 00 00 00 00</t>
  </si>
  <si>
    <t>02b0   00 00 00 00 00 00 00 00 00 00 7f 01 17 1a 00 00</t>
  </si>
  <si>
    <t>02c0   00 00 01 00 02 00 00 00 00 00 00 00 00 00 00 00</t>
  </si>
  <si>
    <t>02d0   00 00 00 00 7f 01 17 1b 00 00 00 00 01 00 02 00</t>
  </si>
  <si>
    <t>02e0   00 00 00 00 00 00 00 00 00 00 00 00 00 00 7f 01</t>
  </si>
  <si>
    <t>02f0   17 1c 00 00 00 00 01 00 02 00 00 00 00 00 00 00</t>
  </si>
  <si>
    <t>0300   00 00 00 00 00 00 00 00 7f 01 17 1d 00 00 00 00</t>
  </si>
  <si>
    <t>0310   01 00 02 00 00 00 00 00 00 00 00 00 00 00 00 00</t>
  </si>
  <si>
    <t>0320   00 00 7f 01 17 1e 00 00 00 00 01 00 02 00 00 00</t>
  </si>
  <si>
    <t>0330   00 00 00 00 00 00 00 00 00 00 00 00 7f 01 17 1f</t>
  </si>
  <si>
    <t>0340   00 00 00 00 01 00 02 00 00 00 00 00 00 00 00 00</t>
  </si>
  <si>
    <t>0350   00 00 00 00 00 00 7f 02 20 45 4d 50 54 59 20 20</t>
  </si>
  <si>
    <t>0360   20 20 20 20 20 20 20 20 20 20 20 20 20 20 20 20</t>
  </si>
  <si>
    <t>0370   20 20 20 20 20 20 20 20 20 7f 03 20 20 20 20 20</t>
  </si>
  <si>
    <t>0380   20 20 20 20 20 20 20 20 20 20 20 20 20 20 20 20</t>
  </si>
  <si>
    <t>0390   20 20 20 20 20 20 20 20 20 20 20 20 7f 04 20 23</t>
  </si>
  <si>
    <t>03a0   23 20 20 20 20 20 20 20 20 20 20 20 20 20 20 20</t>
  </si>
  <si>
    <t>03b0   20 20 20 20 20 20 20 20 20 20 20 20 20 20 20 7f</t>
  </si>
  <si>
    <t>03c0   05 20 00 00 00 00 00 00 00 00 07 07 07 00 00 00</t>
  </si>
  <si>
    <t>03d0   00 00 00 00 00 00 00 00 00 00 00 00 00 00 00 00</t>
  </si>
  <si>
    <t>03e0   00 7f 06 20 20 20 20 20 20 20 20 20 20 20 20 20</t>
  </si>
  <si>
    <t>03f0   20 20 20 20 20 20 20 20 20 20 20 20 20 20 20 20</t>
  </si>
  <si>
    <t>0400   20 20 20 20 23 f7</t>
  </si>
  <si>
    <r>
      <t>f000212409000611000e0000000000007f0003010e007f01170024072c2f0101020000000000000000000000000000007f0117012407</t>
    </r>
    <r>
      <rPr>
        <b/>
        <sz val="11"/>
        <color rgb="FFFF0000"/>
        <rFont val="Aptos Narrow"/>
        <family val="2"/>
        <scheme val="minor"/>
      </rPr>
      <t>2f</t>
    </r>
    <r>
      <rPr>
        <sz val="11"/>
        <color theme="1"/>
        <rFont val="Aptos Narrow"/>
        <family val="2"/>
        <scheme val="minor"/>
      </rPr>
      <t>070102020000000000000000000000000000007f011702240700070103020000000000000000000000000000007f0117030e0300000107020000000000000000000000000000007f0117040e0400000108020000000000000000000000000000007f011705000000000100020000000000000000000000000000007f011706000000000100020000000000000000000000000000007f011707000000000100020000000000000000000000000000007f011708000000000100020000000000000000000000000000007f011709000000000100020000000000000000000000000000007f01170a000000000100020000000000000000000000000000007f01170b000000000100020000000000000000000000000000007f01170c000000000100020000000000000000000000000000007f01170d000000000100020000000000000000000000000000007f01170e000000000100020000000000000000000000000000007f01170f000000000100020000000000000000000000000000007f011710000000000100020000000000000000000000000000007f011711000000000100020000000000000000000000000000007f011712000000000100020000000000000000000000000000007f011713000000000100020000000000000000000000000000007f011714000000000100020000000000000000000000000000007f011715000000000100020000000000000000000000000000007f011716000000000100020000000000000000000000000000007f011717000000000100020000000000000000000000000000007f011718000000000100020000000000000000000000000000007f011719000000000100020000000000000000000000000000007f01171a000000000100020000000000000000000000000000007f01171b000000000100020000000000000000000000000000007f01171c000000000100020000000000000000000000000000007f01171d000000000100020000000000000000000000000000007f01171e000000000100020000000000000000000000000000007f01171f000000000100020000000000000000000000000000007f0220454d5054592020202020202020202020202020202020202020202020202020207f032020202020202020202020202020202020202020202020202020202020202020207f042023232020202020202020202020202020202020202020202020202020202020207f0520000000000000000007070700000000000000000000000000000000000000007f062020202020202020202020202020202020202020202020202020202020202020203af7</t>
    </r>
  </si>
  <si>
    <r>
      <t>f000212409000611000e0000000000007f0003010e007f01170024072c2f0101020000000000000000000000000000007f0117012407</t>
    </r>
    <r>
      <rPr>
        <b/>
        <sz val="11"/>
        <color rgb="FFFF0000"/>
        <rFont val="Aptos Narrow"/>
        <family val="2"/>
        <scheme val="minor"/>
      </rPr>
      <t>36</t>
    </r>
    <r>
      <rPr>
        <sz val="11"/>
        <color theme="1"/>
        <rFont val="Aptos Narrow"/>
        <family val="2"/>
        <scheme val="minor"/>
      </rPr>
      <t>070102020000000000000000000000000000007f011702240700070103020000000000000000000000000000007f0117030e0300000107020000000000000000000000000000007f0117040e0400000108020000000000000000000000000000007f011705000000000100020000000000000000000000000000007f011706000000000100020000000000000000000000000000007f011707000000000100020000000000000000000000000000007f011708000000000100020000000000000000000000000000007f011709000000000100020000000000000000000000000000007f01170a000000000100020000000000000000000000000000007f01170b000000000100020000000000000000000000000000007f01170c000000000100020000000000000000000000000000007f01170d000000000100020000000000000000000000000000007f01170e000000000100020000000000000000000000000000007f01170f000000000100020000000000000000000000000000007f011710000000000100020000000000000000000000000000007f011711000000000100020000000000000000000000000000007f011712000000000100020000000000000000000000000000007f011713000000000100020000000000000000000000000000007f011714000000000100020000000000000000000000000000007f011715000000000100020000000000000000000000000000007f011716000000000100020000000000000000000000000000007f011717000000000100020000000000000000000000000000007f011718000000000100020000000000000000000000000000007f011719000000000100020000000000000000000000000000007f01171a000000000100020000000000000000000000000000007f01171b000000000100020000000000000000000000000000007f01171c000000000100020000000000000000000000000000007f01171d000000000100020000000000000000000000000000007f01171e000000000100020000000000000000000000000000007f01171f000000000100020000000000000000000000000000007f0220454d5054592020202020202020202020202020202020202020202020202020207f032020202020202020202020202020202020202020202020202020202020202020207f042023232020202020202020202020202020202020202020202020202020202020207f0520000000000000000007070700000000000000000000000000000000000000007f0620202020202020202020202020202020202020202020202020202020202020202023f7</t>
    </r>
  </si>
  <si>
    <r>
      <t>f000212409000611000e0000000000007f0003010e007f01170024072c2f0101020000000000000000000000000000007f0117012407</t>
    </r>
    <r>
      <rPr>
        <b/>
        <sz val="11"/>
        <color rgb="FFFF0000"/>
        <rFont val="Aptos Narrow"/>
        <family val="2"/>
        <scheme val="minor"/>
      </rPr>
      <t>08</t>
    </r>
    <r>
      <rPr>
        <sz val="11"/>
        <color theme="1"/>
        <rFont val="Aptos Narrow"/>
        <family val="2"/>
        <scheme val="minor"/>
      </rPr>
      <t>070102020000000000000000000000000000007f011702240700070103020000000000000000000000000000007f0117030e0300000107020000000000000000000000000000007f0117040e0400000108020000000000000000000000000000007f011705000000000100020000000000000000000000000000007f011706000000000100020000000000000000000000000000007f011707000000000100020000000000000000000000000000007f011708000000000100020000000000000000000000000000007f011709000000000100020000000000000000000000000000007f01170a000000000100020000000000000000000000000000007f01170b000000000100020000000000000000000000000000007f01170c000000000100020000000000000000000000000000007f01170d000000000100020000000000000000000000000000007f01170e000000000100020000000000000000000000000000007f01170f000000000100020000000000000000000000000000007f011710000000000100020000000000000000000000000000007f011711000000000100020000000000000000000000000000007f011712000000000100020000000000000000000000000000007f011713000000000100020000000000000000000000000000007f011714000000000100020000000000000000000000000000007f011715000000000100020000000000000000000000000000007f011716000000000100020000000000000000000000000000007f011717000000000100020000000000000000000000000000007f011718000000000100020000000000000000000000000000007f011719000000000100020000000000000000000000000000007f01171a000000000100020000000000000000000000000000007f01171b000000000100020000000000000000000000000000007f01171c000000000100020000000000000000000000000000007f01171d000000000100020000000000000000000000000000007f01171e000000000100020000000000000000000000000000007f01171f000000000100020000000000000000000000000000007f0220454d5054592020202020202020202020202020202020202020202020202020207f032020202020202020202020202020202020202020202020202020202020202020207f042023232020202020202020202020202020202020202020202020202020202020207f0520000000000000000007070700000000000000000000000000000000000000007f062020202020202020202020202020202020202020202020202020202020202020201df7</t>
    </r>
  </si>
  <si>
    <t>indianred</t>
  </si>
  <si>
    <t>salmon</t>
  </si>
  <si>
    <t>red</t>
  </si>
  <si>
    <t>firebrick</t>
  </si>
  <si>
    <t>darkred</t>
  </si>
  <si>
    <t>lightpink</t>
  </si>
  <si>
    <t>hotpink</t>
  </si>
  <si>
    <t>deeppink</t>
  </si>
  <si>
    <t>palevioletred</t>
  </si>
  <si>
    <t>lightsalmon</t>
  </si>
  <si>
    <t>tomato</t>
  </si>
  <si>
    <t>darkorange</t>
  </si>
  <si>
    <t>orange</t>
  </si>
  <si>
    <t>gold</t>
  </si>
  <si>
    <t>yellow</t>
  </si>
  <si>
    <t>lightyellow</t>
  </si>
  <si>
    <t>khaki</t>
  </si>
  <si>
    <t>darkkhaki</t>
  </si>
  <si>
    <t>lavender</t>
  </si>
  <si>
    <t>thistle</t>
  </si>
  <si>
    <t>orchid</t>
  </si>
  <si>
    <t>rebeccapurple</t>
  </si>
  <si>
    <t>blueviolet</t>
  </si>
  <si>
    <t>purple</t>
  </si>
  <si>
    <t>indigo</t>
  </si>
  <si>
    <t>mediumslateblue</t>
  </si>
  <si>
    <t>lime</t>
  </si>
  <si>
    <t>forestgreen</t>
  </si>
  <si>
    <t>darkgreen</t>
  </si>
  <si>
    <t>olivedrab</t>
  </si>
  <si>
    <t>olive</t>
  </si>
  <si>
    <t>darkseagreen</t>
  </si>
  <si>
    <t>teal</t>
  </si>
  <si>
    <t>blue</t>
  </si>
  <si>
    <t>aqua</t>
  </si>
  <si>
    <t>cadetblue</t>
  </si>
  <si>
    <t>steelblue</t>
  </si>
  <si>
    <t>lightsteelblue</t>
  </si>
  <si>
    <t>skyblue</t>
  </si>
  <si>
    <t>cornsilk</t>
  </si>
  <si>
    <t>tan</t>
  </si>
  <si>
    <t>brown</t>
  </si>
  <si>
    <t>maroon</t>
  </si>
  <si>
    <t>lightgray</t>
  </si>
  <si>
    <t>grey</t>
  </si>
  <si>
    <t>slategray</t>
  </si>
  <si>
    <t>white</t>
  </si>
  <si>
    <t>black</t>
  </si>
  <si>
    <t>CADETBLUE</t>
  </si>
  <si>
    <t>turquoise</t>
  </si>
  <si>
    <t>orangered</t>
  </si>
  <si>
    <t>Picker place</t>
  </si>
  <si>
    <r>
      <t>f000212409000611000e0000000000007f0003010e007f0117002407</t>
    </r>
    <r>
      <rPr>
        <b/>
        <sz val="11"/>
        <color rgb="FFFF0000"/>
        <rFont val="Aptos Narrow"/>
        <family val="2"/>
        <scheme val="minor"/>
      </rPr>
      <t>0b</t>
    </r>
    <r>
      <rPr>
        <sz val="11"/>
        <color theme="1"/>
        <rFont val="Aptos Narrow"/>
        <family val="2"/>
        <scheme val="minor"/>
      </rPr>
      <t>2f0101020000000000000000000000000000007f0117012407</t>
    </r>
    <r>
      <rPr>
        <b/>
        <sz val="11"/>
        <color rgb="FFFF0000"/>
        <rFont val="Aptos Narrow"/>
        <family val="2"/>
        <scheme val="minor"/>
      </rPr>
      <t>35</t>
    </r>
    <r>
      <rPr>
        <sz val="11"/>
        <color theme="1"/>
        <rFont val="Aptos Narrow"/>
        <family val="2"/>
        <scheme val="minor"/>
      </rPr>
      <t>070102020000000000000000000000000000007f011702240700070103020000000000000000000000000000007f0117030e0300000107020000000000000000000000000000007f0117040e0400000108020000000000000000000000000000007f011705000000000100020000000000000000000000000000007f011706000000000100020000000000000000000000000000007f011707000000000100020000000000000000000000000000007f011708000000000100020000000000000000000000000000007f011709000000000100020000000000000000000000000000007f01170a000000000100020000000000000000000000000000007f01170b000000000100020000000000000000000000000000007f01170c000000000100020000000000000000000000000000007f01170d000000000100020000000000000000000000000000007f01170e000000000100020000000000000000000000000000007f01170f000000000100020000000000000000000000000000007f011710000000000100020000000000000000000000000000007f011711000000000100020000000000000000000000000000007f011712000000000100020000000000000000000000000000007f011713000000000100020000000000000000000000000000007f011714000000000100020000000000000000000000000000007f011715000000000100020000000000000000000000000000007f011716000000000100020000000000000000000000000000007f011717000000000100020000000000000000000000000000007f011718000000000100020000000000000000000000000000007f011719000000000100020000000000000000000000000000007f01171a000000000100020000000000000000000000000000007f01171b000000000100020000000000000000000000000000007f01171c000000000100020000000000000000000000000000007f01171d000000000100020000000000000000000000000000007f01171e000000000100020000000000000000000000000000007f01171f000000000100020000000000000000000000000000007f0220454d5054592020202020202020202020202020202020202020202020202020207f032020202020202020202020202020202020202020202020202020202020202020207f042023232020202020202020202020202020202020202020202020202020202020207f0520000000000000000007070700000000000000000000000000000000000000007f0620202020202020202020202020202020202020202020202020202020202020202007f7</t>
    </r>
  </si>
  <si>
    <t>f000212409000611000e0000000000007f0003010e007f0117002407012f0101020000000000000000000000000000007f01170124070c070102020000000000000000000000000000007f011702240700070103020000000000000000000000000000007f0117030e0300000107020000000000000000000000000000007f0117040e0400000108020000000000000000000000000000007f011705000000000100020000000000000000000000000000007f011706000000000100020000000000000000000000000000007f011707000000000100020000000000000000000000000000007f011708000000000100020000000000000000000000000000007f011709000000000100020000000000000000000000000000007f01170a000000000100020000000000000000000000000000007f01170b000000000100020000000000000000000000000000007f01170c000000000100020000000000000000000000000000007f01170d000000000100020000000000000000000000000000007f01170e000000000100020000000000000000000000000000007f01170f000000000100020000000000000000000000000000007f011710000000000100020000000000000000000000000000007f011711000000000100020000000000000000000000000000007f011712000000000100020000000000000000000000000000007f011713000000000100020000000000000000000000000000007f011714000000000100020000000000000000000000000000007f011715000000000100020000000000000000000000000000007f011716000000000100020000000000000000000000000000007f011717000000000100020000000000000000000000000000007f011718000000000100020000000000000000000000000000007f011719000000000100020000000000000000000000000000007f01171a000000000100020000000000000000000000000000007f01171b000000000100020000000000000000000000000000007f01171c000000000100020000000000000000000000000000007f01171d000000000100020000000000000000000000000000007f01171e000000000100020000000000000000000000000000007f01171f000000000100020000000000000000000000000000007f0220454d5054592020202020202020202020202020202020202020202020202020207f032020202020202020202020202020202020202020202020202020202020202020207f042023232020202020202020202020202020202020202020202020202020202020207f0520000000000000000007070700000000000000000000000000000000000000007f0620202020202020202020202020202020202020202020202020202020202020202034f7</t>
  </si>
  <si>
    <r>
      <t>f000212409000611000e0000000000007f0003010e007f0117002407</t>
    </r>
    <r>
      <rPr>
        <b/>
        <sz val="11"/>
        <color rgb="FFFF0000"/>
        <rFont val="Aptos Narrow"/>
        <family val="2"/>
        <scheme val="minor"/>
      </rPr>
      <t>05</t>
    </r>
    <r>
      <rPr>
        <sz val="11"/>
        <color theme="1"/>
        <rFont val="Aptos Narrow"/>
        <family val="2"/>
        <scheme val="minor"/>
      </rPr>
      <t>2f0101020000000000000000000000000000007f0117012407</t>
    </r>
    <r>
      <rPr>
        <sz val="11"/>
        <color rgb="FFFF0000"/>
        <rFont val="Aptos Narrow"/>
        <family val="2"/>
        <scheme val="minor"/>
      </rPr>
      <t>0d</t>
    </r>
    <r>
      <rPr>
        <sz val="1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70102020000000000000000000000000000007f011702240700070103020000000000000000000000000000007f0117030e0300000107020000000000000000000000000000007f0117040e0400000108020000000000000000000000000000007f011705000000000100020000000000000000000000000000007f011706000000000100020000000000000000000000000000007f011707000000000100020000000000000000000000000000007f011708000000000100020000000000000000000000000000007f011709000000000100020000000000000000000000000000007f01170a000000000100020000000000000000000000000000007f01170b000000000100020000000000000000000000000000007f01170c000000000100020000000000000000000000000000007f01170d000000000100020000000000000000000000000000007f01170e000000000100020000000000000000000000000000007f01170f000000000100020000000000000000000000000000007f011710000000000100020000000000000000000000000000007f011711000000000100020000000000000000000000000000007f011712000000000100020000000000000000000000000000007f011713000000000100020000000000000000000000000000007f011714000000000100020000000000000000000000000000007f011715000000000100020000000000000000000000000000007f011716000000000100020000000000000000000000000000007f011717000000000100020000000000000000000000000000007f011718000000000100020000000000000000000000000000007f011719000000000100020000000000000000000000000000007f01171a000000000100020000000000000000000000000000007f01171b000000000100020000000000000000000000000000007f01171c000000000100020000000000000000000000000000007f01171d000000000100020000000000000000000000000000007f01171e000000000100020000000000000000000000000000007f01171f000000000100020000000000000000000000000000007f0220454d5054592020202020202020202020202020202020202020202020202020207f032020202020202020202020202020202020202020202020202020202020202020207f042023232020202020202020202020202020202020202020202020202020202020207f0520000000000000000007070700000000000000000000000000000000000000007f0620202020202020202020202020202020202020202020202020202020202020202031f7</t>
    </r>
  </si>
  <si>
    <t>f000212409000611000e0000000000007f0003010e007f01170024071e0a0101020000000000000000000000000000007f011701240706070102020000000000000000000000000000007f011702240700070103020000000000000000000000000000007f0117030e0300000107020000000000000000000000000000007f0117040e0400000108020000000000000000000000000000007f011705000000000100020000000000000000000000000000007f011706000000000100020000000000000000000000000000007f011707000000000100020000000000000000000000000000007f011708000000000100020000000000000000000000000000007f011709000000000100020000000000000000000000000000007f01170a000000000100020000000000000000000000000000007f01170b000000000100020000000000000000000000000000007f01170c000000000100020000000000000000000000000000007f01170d000000000100020000000000000000000000000000007f01170e000000000100020000000000000000000000000000007f01170f000000000100020000000000000000000000000000007f011710000000000100020000000000000000000000000000007f011711000000000100020000000000000000000000000000007f011712000000000100020000000000000000000000000000007f011713000000000100020000000000000000000000000000007f011714000000000100020000000000000000000000000000007f011715000000000100020000000000000000000000000000007f011716000000000100020000000000000000000000000000007f011717000000000100020000000000000000000000000000007f011718000000000100020000000000000000000000000000007f011719000000000100020000000000000000000000000000007f01171a000000000100020000000000000000000000000000007f01171b000000000100020000000000000000000000000000007f01171c000000000100020000000000000000000000000000007f01171d000000000100020000000000000000000000000000007f01171e000000000100020000000000000000000000000000007f01171f000000000100020000000000000000000000000000007f0220454d5054592020202020202020202020202020202020202020202020202020207f032020202020202020202020202020202020202020202020202020202020202020207f042023232020202020202020202020202020202020202020202020202020202020207f0520000000000000000007070700000000000000000000000000000000000000007f0620202020202020202020202020202020202020202020202020202020202020202004f7</t>
  </si>
  <si>
    <t>hatch</t>
  </si>
  <si>
    <t>sysex</t>
  </si>
  <si>
    <t>code</t>
  </si>
  <si>
    <t>f0</t>
  </si>
  <si>
    <t>0e</t>
  </si>
  <si>
    <t>7f</t>
  </si>
  <si>
    <t>2c</t>
  </si>
  <si>
    <t>2f</t>
  </si>
  <si>
    <t>00a0</t>
  </si>
  <si>
    <t>00b0</t>
  </si>
  <si>
    <t>00c0</t>
  </si>
  <si>
    <t>00d0</t>
  </si>
  <si>
    <t>00f0</t>
  </si>
  <si>
    <t>0a</t>
  </si>
  <si>
    <t>0b</t>
  </si>
  <si>
    <t>0c</t>
  </si>
  <si>
    <t>0d</t>
  </si>
  <si>
    <t>0f</t>
  </si>
  <si>
    <t>01a0</t>
  </si>
  <si>
    <t>01b0</t>
  </si>
  <si>
    <t>01c0</t>
  </si>
  <si>
    <t>01d0</t>
  </si>
  <si>
    <t>01f0</t>
  </si>
  <si>
    <t>02a0</t>
  </si>
  <si>
    <t>02b0</t>
  </si>
  <si>
    <t>1a</t>
  </si>
  <si>
    <t>02c0</t>
  </si>
  <si>
    <t>02d0</t>
  </si>
  <si>
    <t>1b</t>
  </si>
  <si>
    <t>02f0</t>
  </si>
  <si>
    <t>1c</t>
  </si>
  <si>
    <t>1d</t>
  </si>
  <si>
    <t>1e</t>
  </si>
  <si>
    <t>1f</t>
  </si>
  <si>
    <t>4d</t>
  </si>
  <si>
    <t>03a0</t>
  </si>
  <si>
    <t>03b0</t>
  </si>
  <si>
    <t>03c0</t>
  </si>
  <si>
    <t>03d0</t>
  </si>
  <si>
    <t>03f0</t>
  </si>
  <si>
    <t>f7</t>
  </si>
  <si>
    <t>6=patch dump</t>
  </si>
  <si>
    <t>0e=patch number</t>
  </si>
  <si>
    <t>action 0, 24=utility, 7=bank bg/text colors, colors, 1=press</t>
  </si>
  <si>
    <t>action 1, 24=utility, 7=bank bg/text colors, 2=release</t>
  </si>
  <si>
    <t>action 2, 24=utility, 7=bank bg/text colors, 3= longpress</t>
  </si>
  <si>
    <t>action 3, 0e=page, 3=page1, 7=longdouble press</t>
  </si>
  <si>
    <t>action 4, 0e=page, 4=page2, 8=longdouble release</t>
  </si>
  <si>
    <t>EMPTY = Position 1 name (32 chars)</t>
  </si>
  <si>
    <t>Preset long name = ##</t>
  </si>
  <si>
    <t>checksum, f7</t>
  </si>
  <si>
    <t>update preset actions</t>
  </si>
  <si>
    <t>preset</t>
  </si>
  <si>
    <t>msg num</t>
  </si>
  <si>
    <t>action</t>
  </si>
  <si>
    <t>26 bytes each for the 32 action slots</t>
  </si>
  <si>
    <t>01 17 [slot]  [6 bytes] [02 + 15x00] 7f</t>
  </si>
  <si>
    <t>header block - 16 bytes + 7f</t>
  </si>
  <si>
    <t>5 bytes + 7f</t>
  </si>
  <si>
    <t>02 20 [32 bytes preset name] 7f</t>
  </si>
  <si>
    <t>03 20 [32 bytes toggle name] 7f</t>
  </si>
  <si>
    <t>04 20 [32 bytes longname] 7f</t>
  </si>
  <si>
    <t>05 20 [31 bytes] 7f</t>
  </si>
  <si>
    <t>06 20 [32 bytes shiftname?] 7f</t>
  </si>
  <si>
    <t>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</si>
</sst>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C34"/>
      <name val="Arial"/>
      <family val="2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ill="1" applyBorder="1"/>
    <xf numFmtId="0" fontId="0" fillId="0" borderId="0" xfId="0" applyBorder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551-985F-47D9-8BB4-812B778AE189}">
  <dimension ref="A1:K50"/>
  <sheetViews>
    <sheetView workbookViewId="0">
      <selection activeCell="G12" sqref="G12"/>
    </sheetView>
  </sheetViews>
  <sheetFormatPr defaultRowHeight="14.4" x14ac:dyDescent="0.3"/>
  <cols>
    <col min="1" max="2" width="8.88671875" style="2"/>
    <col min="3" max="3" width="4.88671875" style="2" customWidth="1"/>
    <col min="4" max="5" width="8.88671875" style="2"/>
    <col min="6" max="6" width="11" style="2" customWidth="1"/>
    <col min="7" max="9" width="8.88671875" style="2"/>
    <col min="10" max="11" width="8.88671875" style="3"/>
  </cols>
  <sheetData>
    <row r="1" spans="1:7" x14ac:dyDescent="0.3">
      <c r="A1" s="1" t="s">
        <v>0</v>
      </c>
      <c r="B1" s="1" t="s">
        <v>214</v>
      </c>
      <c r="C1" s="1">
        <v>0</v>
      </c>
      <c r="D1" s="1" t="str">
        <f>DEC2HEX(C1,2)</f>
        <v>00</v>
      </c>
      <c r="E1" s="1">
        <v>64</v>
      </c>
      <c r="G1" s="2" t="str">
        <f>_xlfn.CONCAT("""",A1,""" : ", C1," ,")</f>
        <v>"BLACK" : 0 ,</v>
      </c>
    </row>
    <row r="2" spans="1:7" x14ac:dyDescent="0.3">
      <c r="A2" s="1" t="s">
        <v>1</v>
      </c>
      <c r="B2" s="1" t="s">
        <v>193</v>
      </c>
      <c r="C2" s="1">
        <v>1</v>
      </c>
      <c r="D2" s="1" t="str">
        <f t="shared" ref="D2:D50" si="0">DEC2HEX(C2,2)</f>
        <v>01</v>
      </c>
      <c r="E2" s="1">
        <v>15</v>
      </c>
      <c r="G2" s="2" t="str">
        <f t="shared" ref="G2:G50" si="1">_xlfn.CONCAT("""",A2,""" : ", C2," ,")</f>
        <v>"GREEN" : 1 ,</v>
      </c>
    </row>
    <row r="3" spans="1:7" x14ac:dyDescent="0.3">
      <c r="A3" s="1" t="s">
        <v>2</v>
      </c>
      <c r="B3" s="1" t="s">
        <v>200</v>
      </c>
      <c r="C3" s="1">
        <v>2</v>
      </c>
      <c r="D3" s="1" t="str">
        <f t="shared" si="0"/>
        <v>02</v>
      </c>
      <c r="E3" s="1">
        <v>16</v>
      </c>
      <c r="G3" s="2" t="str">
        <f t="shared" si="1"/>
        <v>"BLUE" : 2 ,</v>
      </c>
    </row>
    <row r="4" spans="1:7" x14ac:dyDescent="0.3">
      <c r="A4" s="1" t="s">
        <v>3</v>
      </c>
      <c r="B4" s="1" t="s">
        <v>190</v>
      </c>
      <c r="C4" s="1">
        <v>3</v>
      </c>
      <c r="D4" s="1" t="str">
        <f t="shared" si="0"/>
        <v>03</v>
      </c>
      <c r="E4" s="1">
        <v>17</v>
      </c>
      <c r="G4" s="2" t="str">
        <f t="shared" si="1"/>
        <v>"PURPLE" : 3 ,</v>
      </c>
    </row>
    <row r="5" spans="1:7" x14ac:dyDescent="0.3">
      <c r="A5" s="1" t="s">
        <v>4</v>
      </c>
      <c r="B5" s="1" t="s">
        <v>181</v>
      </c>
      <c r="C5" s="1">
        <v>4</v>
      </c>
      <c r="D5" s="1" t="str">
        <f t="shared" si="0"/>
        <v>04</v>
      </c>
      <c r="E5" s="1">
        <v>18</v>
      </c>
      <c r="G5" s="2" t="str">
        <f t="shared" si="1"/>
        <v>"YELLOW" : 4 ,</v>
      </c>
    </row>
    <row r="6" spans="1:7" x14ac:dyDescent="0.3">
      <c r="A6" s="1" t="s">
        <v>5</v>
      </c>
      <c r="B6" s="1" t="s">
        <v>187</v>
      </c>
      <c r="C6" s="1">
        <v>5</v>
      </c>
      <c r="D6" s="1" t="str">
        <f t="shared" si="0"/>
        <v>05</v>
      </c>
      <c r="E6" s="1">
        <v>19</v>
      </c>
      <c r="G6" s="2" t="str">
        <f t="shared" si="1"/>
        <v>"PINK" : 5 ,</v>
      </c>
    </row>
    <row r="7" spans="1:7" x14ac:dyDescent="0.3">
      <c r="A7" s="1" t="s">
        <v>6</v>
      </c>
      <c r="B7" s="1" t="s">
        <v>211</v>
      </c>
      <c r="C7" s="1">
        <v>6</v>
      </c>
      <c r="D7" s="1" t="str">
        <f t="shared" si="0"/>
        <v>06</v>
      </c>
      <c r="E7" s="1">
        <v>20</v>
      </c>
      <c r="G7" s="2" t="str">
        <f t="shared" si="1"/>
        <v>"GRAY" : 6 ,</v>
      </c>
    </row>
    <row r="8" spans="1:7" x14ac:dyDescent="0.3">
      <c r="A8" s="1" t="s">
        <v>7</v>
      </c>
      <c r="B8" s="1" t="s">
        <v>213</v>
      </c>
      <c r="C8" s="1">
        <v>7</v>
      </c>
      <c r="D8" s="1" t="str">
        <f t="shared" si="0"/>
        <v>07</v>
      </c>
      <c r="E8" s="1">
        <v>21</v>
      </c>
      <c r="G8" s="2" t="str">
        <f t="shared" si="1"/>
        <v>"WHITE" : 7 ,</v>
      </c>
    </row>
    <row r="9" spans="1:7" x14ac:dyDescent="0.3">
      <c r="A9" s="1" t="s">
        <v>8</v>
      </c>
      <c r="B9" s="1" t="s">
        <v>179</v>
      </c>
      <c r="C9" s="1">
        <v>8</v>
      </c>
      <c r="D9" s="1" t="str">
        <f t="shared" si="0"/>
        <v>08</v>
      </c>
      <c r="E9" s="1">
        <v>22</v>
      </c>
      <c r="G9" s="2" t="str">
        <f t="shared" si="1"/>
        <v>"ORANGE" : 8 ,</v>
      </c>
    </row>
    <row r="10" spans="1:7" x14ac:dyDescent="0.3">
      <c r="A10" s="1" t="s">
        <v>9</v>
      </c>
      <c r="B10" s="1" t="s">
        <v>169</v>
      </c>
      <c r="C10" s="1">
        <v>9</v>
      </c>
      <c r="D10" s="1" t="str">
        <f t="shared" si="0"/>
        <v>09</v>
      </c>
      <c r="E10" s="1">
        <v>23</v>
      </c>
      <c r="G10" s="2" t="str">
        <f t="shared" si="1"/>
        <v>"RED" : 9 ,</v>
      </c>
    </row>
    <row r="11" spans="1:7" ht="26.4" x14ac:dyDescent="0.3">
      <c r="A11" s="1" t="s">
        <v>10</v>
      </c>
      <c r="B11" s="1" t="s">
        <v>205</v>
      </c>
      <c r="C11" s="1">
        <v>10</v>
      </c>
      <c r="D11" s="1" t="str">
        <f t="shared" si="0"/>
        <v>0A</v>
      </c>
      <c r="E11" s="1">
        <v>24</v>
      </c>
      <c r="G11" s="2" t="str">
        <f t="shared" si="1"/>
        <v>"LIGHT BLUE" : 10 ,</v>
      </c>
    </row>
    <row r="12" spans="1:7" ht="26.4" x14ac:dyDescent="0.3">
      <c r="A12" s="1" t="s">
        <v>11</v>
      </c>
      <c r="B12" s="1" t="s">
        <v>174</v>
      </c>
      <c r="C12" s="1">
        <v>11</v>
      </c>
      <c r="D12" s="1" t="str">
        <f t="shared" si="0"/>
        <v>0B</v>
      </c>
      <c r="E12" s="1">
        <v>25</v>
      </c>
      <c r="G12" s="2" t="str">
        <f t="shared" si="1"/>
        <v>"DARK PINK" : 11 ,</v>
      </c>
    </row>
    <row r="13" spans="1:7" ht="26.4" x14ac:dyDescent="0.3">
      <c r="A13" s="1" t="s">
        <v>12</v>
      </c>
      <c r="B13" s="1" t="s">
        <v>196</v>
      </c>
      <c r="C13" s="1">
        <v>12</v>
      </c>
      <c r="D13" s="1" t="str">
        <f t="shared" si="0"/>
        <v>0C</v>
      </c>
      <c r="E13" s="1">
        <v>26</v>
      </c>
      <c r="G13" s="2" t="str">
        <f t="shared" si="1"/>
        <v>"PALE GREEN" : 12 ,</v>
      </c>
    </row>
    <row r="14" spans="1:7" ht="26.4" x14ac:dyDescent="0.3">
      <c r="A14" s="1" t="s">
        <v>13</v>
      </c>
      <c r="B14" s="1" t="s">
        <v>192</v>
      </c>
      <c r="C14" s="1">
        <v>13</v>
      </c>
      <c r="D14" s="1" t="str">
        <f t="shared" si="0"/>
        <v>0D</v>
      </c>
      <c r="E14" s="1">
        <v>27</v>
      </c>
      <c r="G14" s="2" t="str">
        <f t="shared" si="1"/>
        <v>"PALE PURPLE" : 13 ,</v>
      </c>
    </row>
    <row r="15" spans="1:7" ht="26.4" x14ac:dyDescent="0.3">
      <c r="A15" s="1" t="s">
        <v>14</v>
      </c>
      <c r="B15" s="1" t="s">
        <v>195</v>
      </c>
      <c r="C15" s="1">
        <v>14</v>
      </c>
      <c r="D15" s="1" t="str">
        <f t="shared" si="0"/>
        <v>0E</v>
      </c>
      <c r="E15" s="1">
        <v>28</v>
      </c>
      <c r="G15" s="2" t="str">
        <f t="shared" si="1"/>
        <v>"DARK GREEN" : 14 ,</v>
      </c>
    </row>
    <row r="16" spans="1:7" x14ac:dyDescent="0.3">
      <c r="A16" s="1" t="s">
        <v>15</v>
      </c>
      <c r="B16" s="1" t="s">
        <v>201</v>
      </c>
      <c r="C16" s="1">
        <v>29</v>
      </c>
      <c r="D16" s="1" t="str">
        <f t="shared" si="0"/>
        <v>1D</v>
      </c>
      <c r="E16" s="1">
        <v>93</v>
      </c>
      <c r="G16" s="2" t="str">
        <f t="shared" si="1"/>
        <v>"AQUA" : 29 ,</v>
      </c>
    </row>
    <row r="17" spans="1:7" ht="26.4" x14ac:dyDescent="0.3">
      <c r="A17" s="1" t="s">
        <v>16</v>
      </c>
      <c r="B17" s="1" t="s">
        <v>216</v>
      </c>
      <c r="C17" s="1">
        <v>30</v>
      </c>
      <c r="D17" s="1" t="str">
        <f t="shared" si="0"/>
        <v>1E</v>
      </c>
      <c r="E17" s="1">
        <v>94</v>
      </c>
      <c r="G17" s="2" t="str">
        <f t="shared" si="1"/>
        <v>"TURQUOISE" : 30 ,</v>
      </c>
    </row>
    <row r="18" spans="1:7" ht="26.4" x14ac:dyDescent="0.3">
      <c r="A18" s="1" t="s">
        <v>215</v>
      </c>
      <c r="B18" s="1" t="s">
        <v>202</v>
      </c>
      <c r="C18" s="1">
        <v>31</v>
      </c>
      <c r="D18" s="1" t="str">
        <f t="shared" si="0"/>
        <v>1F</v>
      </c>
      <c r="E18" s="1">
        <v>95</v>
      </c>
      <c r="G18" s="2" t="str">
        <f t="shared" si="1"/>
        <v>"CADETBLUE" : 31 ,</v>
      </c>
    </row>
    <row r="19" spans="1:7" ht="26.4" x14ac:dyDescent="0.3">
      <c r="A19" s="1" t="s">
        <v>17</v>
      </c>
      <c r="B19" s="1" t="s">
        <v>203</v>
      </c>
      <c r="C19" s="1">
        <v>32</v>
      </c>
      <c r="D19" s="1" t="str">
        <f t="shared" si="0"/>
        <v>20</v>
      </c>
      <c r="E19" s="1">
        <v>96</v>
      </c>
      <c r="G19" s="2" t="str">
        <f t="shared" si="1"/>
        <v>"STEEL BLUE" : 32 ,</v>
      </c>
    </row>
    <row r="20" spans="1:7" ht="39.6" x14ac:dyDescent="0.3">
      <c r="A20" s="1" t="s">
        <v>18</v>
      </c>
      <c r="B20" s="1" t="s">
        <v>204</v>
      </c>
      <c r="C20" s="1">
        <v>33</v>
      </c>
      <c r="D20" s="1" t="str">
        <f t="shared" si="0"/>
        <v>21</v>
      </c>
      <c r="E20" s="1">
        <v>97</v>
      </c>
      <c r="G20" s="2" t="str">
        <f t="shared" si="1"/>
        <v>"LIGHT STEEL BLUE" : 33 ,</v>
      </c>
    </row>
    <row r="21" spans="1:7" x14ac:dyDescent="0.3">
      <c r="A21" s="1" t="s">
        <v>19</v>
      </c>
      <c r="B21" s="1" t="s">
        <v>207</v>
      </c>
      <c r="C21" s="1">
        <v>34</v>
      </c>
      <c r="D21" s="1" t="str">
        <f t="shared" si="0"/>
        <v>22</v>
      </c>
      <c r="E21" s="1">
        <v>98</v>
      </c>
      <c r="G21" s="2" t="str">
        <f t="shared" si="1"/>
        <v>"TAN" : 34 ,</v>
      </c>
    </row>
    <row r="22" spans="1:7" x14ac:dyDescent="0.3">
      <c r="A22" s="1" t="s">
        <v>20</v>
      </c>
      <c r="B22" s="1" t="s">
        <v>208</v>
      </c>
      <c r="C22" s="1">
        <v>35</v>
      </c>
      <c r="D22" s="1" t="str">
        <f t="shared" si="0"/>
        <v>23</v>
      </c>
      <c r="E22" s="1">
        <v>99</v>
      </c>
      <c r="G22" s="2" t="str">
        <f t="shared" si="1"/>
        <v>"BROWN" : 35 ,</v>
      </c>
    </row>
    <row r="23" spans="1:7" ht="26.4" x14ac:dyDescent="0.3">
      <c r="A23" s="1" t="s">
        <v>21</v>
      </c>
      <c r="B23" s="1" t="s">
        <v>206</v>
      </c>
      <c r="C23" s="1">
        <v>36</v>
      </c>
      <c r="D23" s="1" t="str">
        <f t="shared" si="0"/>
        <v>24</v>
      </c>
      <c r="E23" s="1">
        <v>100</v>
      </c>
      <c r="G23" s="2" t="str">
        <f t="shared" si="1"/>
        <v>"CORNSILK" : 36 ,</v>
      </c>
    </row>
    <row r="24" spans="1:7" x14ac:dyDescent="0.3">
      <c r="A24" s="1" t="s">
        <v>22</v>
      </c>
      <c r="B24" s="1" t="s">
        <v>209</v>
      </c>
      <c r="C24" s="1">
        <v>37</v>
      </c>
      <c r="D24" s="1" t="str">
        <f t="shared" si="0"/>
        <v>25</v>
      </c>
      <c r="E24" s="1">
        <v>101</v>
      </c>
      <c r="G24" s="2" t="str">
        <f t="shared" si="1"/>
        <v>"MAROON" : 37 ,</v>
      </c>
    </row>
    <row r="25" spans="1:7" ht="26.4" x14ac:dyDescent="0.3">
      <c r="A25" s="1" t="s">
        <v>23</v>
      </c>
      <c r="B25" s="1" t="s">
        <v>185</v>
      </c>
      <c r="C25" s="1">
        <v>38</v>
      </c>
      <c r="D25" s="1" t="str">
        <f t="shared" si="0"/>
        <v>26</v>
      </c>
      <c r="E25" s="1">
        <v>102</v>
      </c>
      <c r="G25" s="2" t="str">
        <f t="shared" si="1"/>
        <v>"LAVENDER" : 38 ,</v>
      </c>
    </row>
    <row r="26" spans="1:7" x14ac:dyDescent="0.3">
      <c r="A26" s="1" t="s">
        <v>24</v>
      </c>
      <c r="B26" s="1" t="s">
        <v>199</v>
      </c>
      <c r="C26" s="1">
        <v>39</v>
      </c>
      <c r="D26" s="1" t="str">
        <f t="shared" si="0"/>
        <v>27</v>
      </c>
      <c r="E26" s="1">
        <v>103</v>
      </c>
      <c r="G26" s="2" t="str">
        <f t="shared" si="1"/>
        <v>"TEAL" : 39 ,</v>
      </c>
    </row>
    <row r="27" spans="1:7" ht="39.6" x14ac:dyDescent="0.3">
      <c r="A27" s="1" t="s">
        <v>25</v>
      </c>
      <c r="B27" s="1" t="s">
        <v>198</v>
      </c>
      <c r="C27" s="1">
        <v>40</v>
      </c>
      <c r="D27" s="1" t="str">
        <f t="shared" si="0"/>
        <v>28</v>
      </c>
      <c r="E27" s="1">
        <v>104</v>
      </c>
      <c r="G27" s="2" t="str">
        <f t="shared" si="1"/>
        <v>"DARK SEA GREEN" : 40 ,</v>
      </c>
    </row>
    <row r="28" spans="1:7" ht="26.4" x14ac:dyDescent="0.3">
      <c r="A28" s="1" t="s">
        <v>26</v>
      </c>
      <c r="B28" s="1" t="s">
        <v>194</v>
      </c>
      <c r="C28" s="1">
        <v>41</v>
      </c>
      <c r="D28" s="1" t="str">
        <f t="shared" si="0"/>
        <v>29</v>
      </c>
      <c r="E28" s="1">
        <v>105</v>
      </c>
      <c r="G28" s="2" t="str">
        <f t="shared" si="1"/>
        <v>"FOREST GREEN" : 41 ,</v>
      </c>
    </row>
    <row r="29" spans="1:7" x14ac:dyDescent="0.3">
      <c r="A29" s="1" t="s">
        <v>27</v>
      </c>
      <c r="B29" s="1" t="s">
        <v>197</v>
      </c>
      <c r="C29" s="1">
        <v>42</v>
      </c>
      <c r="D29" s="1" t="str">
        <f t="shared" si="0"/>
        <v>2A</v>
      </c>
      <c r="E29" s="1">
        <v>106</v>
      </c>
      <c r="G29" s="2" t="str">
        <f t="shared" si="1"/>
        <v>"OLIVE" : 42 ,</v>
      </c>
    </row>
    <row r="30" spans="1:7" x14ac:dyDescent="0.3">
      <c r="A30" s="1" t="s">
        <v>28</v>
      </c>
      <c r="B30" s="1" t="s">
        <v>191</v>
      </c>
      <c r="C30" s="1">
        <v>43</v>
      </c>
      <c r="D30" s="1" t="str">
        <f t="shared" si="0"/>
        <v>2B</v>
      </c>
      <c r="E30" s="1">
        <v>107</v>
      </c>
      <c r="G30" s="2" t="str">
        <f t="shared" si="1"/>
        <v>"INDIGO" : 43 ,</v>
      </c>
    </row>
    <row r="31" spans="1:7" ht="26.4" x14ac:dyDescent="0.3">
      <c r="A31" s="1" t="s">
        <v>29</v>
      </c>
      <c r="B31" s="1" t="s">
        <v>189</v>
      </c>
      <c r="C31" s="1">
        <v>44</v>
      </c>
      <c r="D31" s="1" t="str">
        <f t="shared" si="0"/>
        <v>2C</v>
      </c>
      <c r="E31" s="1">
        <v>108</v>
      </c>
      <c r="G31" s="2" t="str">
        <f t="shared" si="1"/>
        <v>"BLUE VIOLET" : 44 ,</v>
      </c>
    </row>
    <row r="32" spans="1:7" x14ac:dyDescent="0.3">
      <c r="A32" s="1" t="s">
        <v>30</v>
      </c>
      <c r="B32" s="1" t="s">
        <v>186</v>
      </c>
      <c r="C32" s="1">
        <v>45</v>
      </c>
      <c r="D32" s="1" t="str">
        <f t="shared" si="0"/>
        <v>2D</v>
      </c>
      <c r="E32" s="1">
        <v>109</v>
      </c>
      <c r="G32" s="2" t="str">
        <f t="shared" si="1"/>
        <v>"THISTLE" : 45 ,</v>
      </c>
    </row>
    <row r="33" spans="1:7" ht="39.6" x14ac:dyDescent="0.3">
      <c r="A33" s="1" t="s">
        <v>31</v>
      </c>
      <c r="B33" s="1" t="s">
        <v>188</v>
      </c>
      <c r="C33" s="1">
        <v>46</v>
      </c>
      <c r="D33" s="1" t="str">
        <f t="shared" si="0"/>
        <v>2E</v>
      </c>
      <c r="E33" s="1">
        <v>110</v>
      </c>
      <c r="G33" s="2" t="str">
        <f t="shared" si="1"/>
        <v>"REBECCA PURPLE" : 46 ,</v>
      </c>
    </row>
    <row r="34" spans="1:7" x14ac:dyDescent="0.3">
      <c r="A34" s="1" t="s">
        <v>32</v>
      </c>
      <c r="B34" s="1" t="s">
        <v>180</v>
      </c>
      <c r="C34" s="1">
        <v>47</v>
      </c>
      <c r="D34" s="1" t="str">
        <f t="shared" si="0"/>
        <v>2F</v>
      </c>
      <c r="E34" s="1">
        <v>111</v>
      </c>
      <c r="G34" s="2" t="str">
        <f t="shared" si="1"/>
        <v>"GOLD" : 47 ,</v>
      </c>
    </row>
    <row r="35" spans="1:7" x14ac:dyDescent="0.3">
      <c r="A35" s="1" t="s">
        <v>33</v>
      </c>
      <c r="B35" s="1" t="s">
        <v>183</v>
      </c>
      <c r="C35" s="1">
        <v>48</v>
      </c>
      <c r="D35" s="1" t="str">
        <f t="shared" si="0"/>
        <v>30</v>
      </c>
      <c r="E35" s="1">
        <v>112</v>
      </c>
      <c r="G35" s="2" t="str">
        <f t="shared" si="1"/>
        <v>"KHAKI" : 48 ,</v>
      </c>
    </row>
    <row r="36" spans="1:7" ht="26.4" x14ac:dyDescent="0.3">
      <c r="A36" s="1" t="s">
        <v>34</v>
      </c>
      <c r="B36" s="1" t="s">
        <v>184</v>
      </c>
      <c r="C36" s="1">
        <v>49</v>
      </c>
      <c r="D36" s="1" t="str">
        <f t="shared" si="0"/>
        <v>31</v>
      </c>
      <c r="E36" s="1">
        <v>113</v>
      </c>
      <c r="G36" s="2" t="str">
        <f t="shared" si="1"/>
        <v>"DARK KHAKI" : 49 ,</v>
      </c>
    </row>
    <row r="37" spans="1:7" ht="26.4" x14ac:dyDescent="0.3">
      <c r="A37" s="1" t="s">
        <v>35</v>
      </c>
      <c r="B37" s="1" t="s">
        <v>182</v>
      </c>
      <c r="C37" s="1">
        <v>50</v>
      </c>
      <c r="D37" s="1" t="str">
        <f t="shared" si="0"/>
        <v>32</v>
      </c>
      <c r="E37" s="1">
        <v>114</v>
      </c>
      <c r="G37" s="2" t="str">
        <f t="shared" si="1"/>
        <v>"LIGHT YELLOW" : 50 ,</v>
      </c>
    </row>
    <row r="38" spans="1:7" ht="26.4" x14ac:dyDescent="0.3">
      <c r="A38" s="1" t="s">
        <v>36</v>
      </c>
      <c r="B38" s="1" t="s">
        <v>176</v>
      </c>
      <c r="C38" s="1">
        <v>51</v>
      </c>
      <c r="D38" s="1" t="str">
        <f t="shared" si="0"/>
        <v>33</v>
      </c>
      <c r="E38" s="1">
        <v>115</v>
      </c>
      <c r="G38" s="2" t="str">
        <f t="shared" si="1"/>
        <v>"LIGHT SALMON" : 51 ,</v>
      </c>
    </row>
    <row r="39" spans="1:7" x14ac:dyDescent="0.3">
      <c r="A39" s="1" t="s">
        <v>37</v>
      </c>
      <c r="B39" s="1" t="s">
        <v>177</v>
      </c>
      <c r="C39" s="1">
        <v>52</v>
      </c>
      <c r="D39" s="1" t="str">
        <f t="shared" si="0"/>
        <v>34</v>
      </c>
      <c r="E39" s="1">
        <v>116</v>
      </c>
      <c r="G39" s="2" t="str">
        <f t="shared" si="1"/>
        <v>"TOMATO" : 52 ,</v>
      </c>
    </row>
    <row r="40" spans="1:7" ht="26.4" x14ac:dyDescent="0.3">
      <c r="A40" s="1" t="s">
        <v>38</v>
      </c>
      <c r="B40" s="1" t="s">
        <v>217</v>
      </c>
      <c r="C40" s="1">
        <v>53</v>
      </c>
      <c r="D40" s="1" t="str">
        <f t="shared" si="0"/>
        <v>35</v>
      </c>
      <c r="E40" s="1">
        <v>117</v>
      </c>
      <c r="G40" s="2" t="str">
        <f t="shared" si="1"/>
        <v>"ORANGE RED" : 53 ,</v>
      </c>
    </row>
    <row r="41" spans="1:7" ht="26.4" x14ac:dyDescent="0.3">
      <c r="A41" s="1" t="s">
        <v>39</v>
      </c>
      <c r="B41" s="1" t="s">
        <v>178</v>
      </c>
      <c r="C41" s="1">
        <v>54</v>
      </c>
      <c r="D41" s="1" t="str">
        <f t="shared" si="0"/>
        <v>36</v>
      </c>
      <c r="E41" s="1">
        <v>118</v>
      </c>
      <c r="G41" s="2" t="str">
        <f t="shared" si="1"/>
        <v>"DARK ORANGE" : 54 ,</v>
      </c>
    </row>
    <row r="42" spans="1:7" ht="26.4" x14ac:dyDescent="0.3">
      <c r="A42" s="1" t="s">
        <v>40</v>
      </c>
      <c r="B42" s="1" t="s">
        <v>167</v>
      </c>
      <c r="C42" s="1">
        <v>55</v>
      </c>
      <c r="D42" s="1" t="str">
        <f t="shared" si="0"/>
        <v>37</v>
      </c>
      <c r="E42" s="1">
        <v>119</v>
      </c>
      <c r="G42" s="2" t="str">
        <f t="shared" si="1"/>
        <v>"INDIAN RED" : 55 ,</v>
      </c>
    </row>
    <row r="43" spans="1:7" x14ac:dyDescent="0.3">
      <c r="A43" s="1" t="s">
        <v>41</v>
      </c>
      <c r="B43" s="1" t="s">
        <v>168</v>
      </c>
      <c r="C43" s="1">
        <v>56</v>
      </c>
      <c r="D43" s="1" t="str">
        <f t="shared" si="0"/>
        <v>38</v>
      </c>
      <c r="E43" s="1">
        <v>120</v>
      </c>
      <c r="G43" s="2" t="str">
        <f t="shared" si="1"/>
        <v>"SALMON" : 56 ,</v>
      </c>
    </row>
    <row r="44" spans="1:7" ht="26.4" x14ac:dyDescent="0.3">
      <c r="A44" s="1" t="s">
        <v>42</v>
      </c>
      <c r="B44" s="1" t="s">
        <v>170</v>
      </c>
      <c r="C44" s="1">
        <v>57</v>
      </c>
      <c r="D44" s="1" t="str">
        <f t="shared" si="0"/>
        <v>39</v>
      </c>
      <c r="E44" s="1">
        <v>121</v>
      </c>
      <c r="G44" s="2" t="str">
        <f t="shared" si="1"/>
        <v>"FIRE BRICK" : 57 ,</v>
      </c>
    </row>
    <row r="45" spans="1:7" ht="26.4" x14ac:dyDescent="0.3">
      <c r="A45" s="1" t="s">
        <v>43</v>
      </c>
      <c r="B45" s="1" t="s">
        <v>171</v>
      </c>
      <c r="C45" s="1">
        <v>58</v>
      </c>
      <c r="D45" s="1" t="str">
        <f t="shared" si="0"/>
        <v>3A</v>
      </c>
      <c r="E45" s="1">
        <v>122</v>
      </c>
      <c r="G45" s="2" t="str">
        <f t="shared" si="1"/>
        <v>"DARK RED" : 58 ,</v>
      </c>
    </row>
    <row r="46" spans="1:7" ht="26.4" x14ac:dyDescent="0.3">
      <c r="A46" s="1" t="s">
        <v>44</v>
      </c>
      <c r="B46" s="1" t="s">
        <v>172</v>
      </c>
      <c r="C46" s="1">
        <v>59</v>
      </c>
      <c r="D46" s="1" t="str">
        <f t="shared" si="0"/>
        <v>3B</v>
      </c>
      <c r="E46" s="1">
        <v>123</v>
      </c>
      <c r="G46" s="2" t="str">
        <f t="shared" si="1"/>
        <v>"LIGHT PINK" : 59 ,</v>
      </c>
    </row>
    <row r="47" spans="1:7" ht="26.4" x14ac:dyDescent="0.3">
      <c r="A47" s="1" t="s">
        <v>45</v>
      </c>
      <c r="B47" s="1" t="s">
        <v>173</v>
      </c>
      <c r="C47" s="1">
        <v>60</v>
      </c>
      <c r="D47" s="1" t="str">
        <f t="shared" si="0"/>
        <v>3C</v>
      </c>
      <c r="E47" s="1">
        <v>124</v>
      </c>
      <c r="G47" s="2" t="str">
        <f t="shared" si="1"/>
        <v>"HOT PINK" : 60 ,</v>
      </c>
    </row>
    <row r="48" spans="1:7" ht="39.6" x14ac:dyDescent="0.3">
      <c r="A48" s="1" t="s">
        <v>46</v>
      </c>
      <c r="B48" s="1" t="s">
        <v>175</v>
      </c>
      <c r="C48" s="1">
        <v>61</v>
      </c>
      <c r="D48" s="1" t="str">
        <f t="shared" si="0"/>
        <v>3D</v>
      </c>
      <c r="E48" s="1">
        <v>125</v>
      </c>
      <c r="G48" s="2" t="str">
        <f t="shared" si="1"/>
        <v>"PALE VIOLET RED" : 61 ,</v>
      </c>
    </row>
    <row r="49" spans="1:7" ht="26.4" x14ac:dyDescent="0.3">
      <c r="A49" s="1" t="s">
        <v>47</v>
      </c>
      <c r="B49" s="1" t="s">
        <v>212</v>
      </c>
      <c r="C49" s="1">
        <v>62</v>
      </c>
      <c r="D49" s="1" t="str">
        <f t="shared" si="0"/>
        <v>3E</v>
      </c>
      <c r="E49" s="1">
        <v>126</v>
      </c>
      <c r="G49" s="2" t="str">
        <f t="shared" si="1"/>
        <v>"SLATE GRAY" : 62 ,</v>
      </c>
    </row>
    <row r="50" spans="1:7" ht="26.4" x14ac:dyDescent="0.3">
      <c r="A50" s="1" t="s">
        <v>48</v>
      </c>
      <c r="B50" s="1" t="s">
        <v>210</v>
      </c>
      <c r="C50" s="1">
        <v>63</v>
      </c>
      <c r="D50" s="1" t="str">
        <f t="shared" si="0"/>
        <v>3F</v>
      </c>
      <c r="E50" s="1">
        <v>127</v>
      </c>
      <c r="G50" s="2" t="str">
        <f t="shared" si="1"/>
        <v>"LIGHT GRAY" : 63 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A98A-96F0-490B-8695-00E678825BE8}">
  <dimension ref="A1:S52"/>
  <sheetViews>
    <sheetView tabSelected="1" workbookViewId="0">
      <selection activeCell="V3" sqref="V3"/>
    </sheetView>
  </sheetViews>
  <sheetFormatPr defaultRowHeight="14.4" x14ac:dyDescent="0.3"/>
  <cols>
    <col min="22" max="22" width="11" bestFit="1" customWidth="1"/>
  </cols>
  <sheetData>
    <row r="1" spans="1:19" x14ac:dyDescent="0.3">
      <c r="C1" s="5"/>
      <c r="D1" s="6" t="s">
        <v>224</v>
      </c>
      <c r="E1" s="6" t="s">
        <v>223</v>
      </c>
    </row>
    <row r="2" spans="1:19" x14ac:dyDescent="0.3">
      <c r="C2" s="7" t="s">
        <v>218</v>
      </c>
      <c r="D2" s="8" t="s">
        <v>225</v>
      </c>
      <c r="E2" s="8" t="s">
        <v>224</v>
      </c>
    </row>
    <row r="3" spans="1:19" x14ac:dyDescent="0.3">
      <c r="A3" t="s">
        <v>167</v>
      </c>
      <c r="B3" t="s">
        <v>49</v>
      </c>
      <c r="C3">
        <v>0</v>
      </c>
      <c r="D3">
        <f>VLOOKUP($A3,theory!$B$1:$C$50,2,FALSE)</f>
        <v>55</v>
      </c>
      <c r="E3">
        <f>VLOOKUP($A3,theory!$B$1:$E$50,4,FALSE)</f>
        <v>119</v>
      </c>
      <c r="G3" t="str">
        <f>_xlfn.CONCAT("""",B3,""" : ", C3," ,")</f>
        <v>"#cd5c5c" : 0 ,</v>
      </c>
      <c r="J3" t="str">
        <f>_xlfn.CONCAT(B3," : ", C3, " ,")</f>
        <v>#cd5c5c : 0 ,</v>
      </c>
      <c r="L3" t="str">
        <f>_xlfn.CONCAT("""",A3,""",")</f>
        <v>"indianred",</v>
      </c>
      <c r="N3">
        <f t="shared" ref="N3:N51" si="0">LEN(B3)</f>
        <v>7</v>
      </c>
      <c r="Q3" t="str">
        <f>_xlfn.CONCAT("""",B3,""", ")</f>
        <v xml:space="preserve">"#cd5c5c", </v>
      </c>
      <c r="S3" t="str">
        <f>_xlfn.CONCAT("""",A3,""" : ", C3," ,")</f>
        <v>"indianred" : 0 ,</v>
      </c>
    </row>
    <row r="4" spans="1:19" x14ac:dyDescent="0.3">
      <c r="A4" t="s">
        <v>168</v>
      </c>
      <c r="B4" t="s">
        <v>50</v>
      </c>
      <c r="C4">
        <v>1</v>
      </c>
      <c r="D4">
        <f>VLOOKUP($A4,theory!$B$1:$C$50,2,FALSE)</f>
        <v>56</v>
      </c>
      <c r="E4">
        <f>VLOOKUP($A4,theory!$B$1:$E$50,4,FALSE)</f>
        <v>120</v>
      </c>
      <c r="G4" t="str">
        <f t="shared" ref="G4:G52" si="1">_xlfn.CONCAT("""",B4,""" : ", C4," ,")</f>
        <v>"#fa8072" : 1 ,</v>
      </c>
      <c r="J4" t="str">
        <f t="shared" ref="J4:J52" si="2">_xlfn.CONCAT(B4," : ", C4, " ,")</f>
        <v>#fa8072 : 1 ,</v>
      </c>
      <c r="L4" t="str">
        <f t="shared" ref="L4:L52" si="3">_xlfn.CONCAT("""",A4,""",")</f>
        <v>"salmon",</v>
      </c>
      <c r="N4">
        <f t="shared" si="0"/>
        <v>7</v>
      </c>
      <c r="Q4" t="str">
        <f t="shared" ref="Q4:Q52" si="4">_xlfn.CONCAT("""",B4,""", ")</f>
        <v xml:space="preserve">"#fa8072", </v>
      </c>
      <c r="S4" t="str">
        <f t="shared" ref="S4:S52" si="5">_xlfn.CONCAT("""",A4,""" : ", C4," ,")</f>
        <v>"salmon" : 1 ,</v>
      </c>
    </row>
    <row r="5" spans="1:19" x14ac:dyDescent="0.3">
      <c r="A5" t="s">
        <v>169</v>
      </c>
      <c r="B5" t="s">
        <v>51</v>
      </c>
      <c r="C5">
        <v>2</v>
      </c>
      <c r="D5">
        <f>VLOOKUP($A5,theory!$B$1:$C$50,2,FALSE)</f>
        <v>9</v>
      </c>
      <c r="E5">
        <f>VLOOKUP($A5,theory!$B$1:$E$50,4,FALSE)</f>
        <v>23</v>
      </c>
      <c r="G5" t="str">
        <f t="shared" si="1"/>
        <v>"#ff0000" : 2 ,</v>
      </c>
      <c r="J5" t="str">
        <f t="shared" si="2"/>
        <v>#ff0000 : 2 ,</v>
      </c>
      <c r="L5" t="str">
        <f t="shared" si="3"/>
        <v>"red",</v>
      </c>
      <c r="N5">
        <f t="shared" si="0"/>
        <v>7</v>
      </c>
      <c r="Q5" t="str">
        <f t="shared" si="4"/>
        <v xml:space="preserve">"#ff0000", </v>
      </c>
      <c r="S5" t="str">
        <f t="shared" si="5"/>
        <v>"red" : 2 ,</v>
      </c>
    </row>
    <row r="6" spans="1:19" x14ac:dyDescent="0.3">
      <c r="A6" t="s">
        <v>170</v>
      </c>
      <c r="B6" t="s">
        <v>52</v>
      </c>
      <c r="C6">
        <v>3</v>
      </c>
      <c r="D6">
        <f>VLOOKUP($A6,theory!$B$1:$C$50,2,FALSE)</f>
        <v>57</v>
      </c>
      <c r="E6">
        <f>VLOOKUP($A6,theory!$B$1:$E$50,4,FALSE)</f>
        <v>121</v>
      </c>
      <c r="G6" t="str">
        <f t="shared" si="1"/>
        <v>"#b22222" : 3 ,</v>
      </c>
      <c r="J6" t="str">
        <f t="shared" si="2"/>
        <v>#b22222 : 3 ,</v>
      </c>
      <c r="L6" t="str">
        <f t="shared" si="3"/>
        <v>"firebrick",</v>
      </c>
      <c r="N6">
        <f t="shared" si="0"/>
        <v>7</v>
      </c>
      <c r="Q6" t="str">
        <f t="shared" si="4"/>
        <v xml:space="preserve">"#b22222", </v>
      </c>
      <c r="S6" t="str">
        <f t="shared" si="5"/>
        <v>"firebrick" : 3 ,</v>
      </c>
    </row>
    <row r="7" spans="1:19" x14ac:dyDescent="0.3">
      <c r="A7" t="s">
        <v>171</v>
      </c>
      <c r="B7" t="s">
        <v>53</v>
      </c>
      <c r="C7">
        <v>4</v>
      </c>
      <c r="D7">
        <f>VLOOKUP($A7,theory!$B$1:$C$50,2,FALSE)</f>
        <v>58</v>
      </c>
      <c r="E7">
        <f>VLOOKUP($A7,theory!$B$1:$E$50,4,FALSE)</f>
        <v>122</v>
      </c>
      <c r="G7" t="str">
        <f t="shared" si="1"/>
        <v>"#8b0000" : 4 ,</v>
      </c>
      <c r="J7" t="str">
        <f t="shared" si="2"/>
        <v>#8b0000 : 4 ,</v>
      </c>
      <c r="L7" t="str">
        <f t="shared" si="3"/>
        <v>"darkred",</v>
      </c>
      <c r="N7">
        <f t="shared" si="0"/>
        <v>7</v>
      </c>
      <c r="Q7" t="str">
        <f t="shared" si="4"/>
        <v xml:space="preserve">"#8b0000", </v>
      </c>
      <c r="S7" t="str">
        <f t="shared" si="5"/>
        <v>"darkred" : 4 ,</v>
      </c>
    </row>
    <row r="8" spans="1:19" x14ac:dyDescent="0.3">
      <c r="A8" t="s">
        <v>172</v>
      </c>
      <c r="B8" t="s">
        <v>54</v>
      </c>
      <c r="C8">
        <v>5</v>
      </c>
      <c r="D8">
        <f>VLOOKUP($A8,theory!$B$1:$C$50,2,FALSE)</f>
        <v>59</v>
      </c>
      <c r="E8">
        <f>VLOOKUP($A8,theory!$B$1:$E$50,4,FALSE)</f>
        <v>123</v>
      </c>
      <c r="G8" t="str">
        <f t="shared" si="1"/>
        <v>"#ffb6c1" : 5 ,</v>
      </c>
      <c r="J8" t="str">
        <f t="shared" si="2"/>
        <v>#ffb6c1 : 5 ,</v>
      </c>
      <c r="L8" t="str">
        <f t="shared" si="3"/>
        <v>"lightpink",</v>
      </c>
      <c r="N8">
        <f t="shared" si="0"/>
        <v>7</v>
      </c>
      <c r="Q8" t="str">
        <f t="shared" si="4"/>
        <v xml:space="preserve">"#ffb6c1", </v>
      </c>
      <c r="S8" t="str">
        <f t="shared" si="5"/>
        <v>"lightpink" : 5 ,</v>
      </c>
    </row>
    <row r="9" spans="1:19" x14ac:dyDescent="0.3">
      <c r="A9" t="s">
        <v>173</v>
      </c>
      <c r="B9" t="s">
        <v>55</v>
      </c>
      <c r="C9">
        <v>6</v>
      </c>
      <c r="D9">
        <f>VLOOKUP($A9,theory!$B$1:$C$50,2,FALSE)</f>
        <v>60</v>
      </c>
      <c r="E9">
        <f>VLOOKUP($A9,theory!$B$1:$E$50,4,FALSE)</f>
        <v>124</v>
      </c>
      <c r="G9" t="str">
        <f t="shared" si="1"/>
        <v>"#ff69b4" : 6 ,</v>
      </c>
      <c r="J9" t="str">
        <f t="shared" si="2"/>
        <v>#ff69b4 : 6 ,</v>
      </c>
      <c r="L9" t="str">
        <f t="shared" si="3"/>
        <v>"hotpink",</v>
      </c>
      <c r="N9">
        <f t="shared" si="0"/>
        <v>7</v>
      </c>
      <c r="Q9" t="str">
        <f t="shared" si="4"/>
        <v xml:space="preserve">"#ff69b4", </v>
      </c>
      <c r="S9" t="str">
        <f t="shared" si="5"/>
        <v>"hotpink" : 6 ,</v>
      </c>
    </row>
    <row r="10" spans="1:19" x14ac:dyDescent="0.3">
      <c r="A10" t="s">
        <v>174</v>
      </c>
      <c r="B10" t="s">
        <v>56</v>
      </c>
      <c r="C10">
        <v>7</v>
      </c>
      <c r="D10">
        <f>VLOOKUP($A10,theory!$B$1:$C$50,2,FALSE)</f>
        <v>11</v>
      </c>
      <c r="E10">
        <f>VLOOKUP($A10,theory!$B$1:$E$50,4,FALSE)</f>
        <v>25</v>
      </c>
      <c r="G10" t="str">
        <f t="shared" si="1"/>
        <v>"#ff1493" : 7 ,</v>
      </c>
      <c r="J10" t="str">
        <f t="shared" si="2"/>
        <v>#ff1493 : 7 ,</v>
      </c>
      <c r="L10" t="str">
        <f t="shared" si="3"/>
        <v>"deeppink",</v>
      </c>
      <c r="N10">
        <f t="shared" si="0"/>
        <v>7</v>
      </c>
      <c r="Q10" t="str">
        <f t="shared" si="4"/>
        <v xml:space="preserve">"#ff1493", </v>
      </c>
      <c r="S10" t="str">
        <f t="shared" si="5"/>
        <v>"deeppink" : 7 ,</v>
      </c>
    </row>
    <row r="11" spans="1:19" x14ac:dyDescent="0.3">
      <c r="A11" t="s">
        <v>175</v>
      </c>
      <c r="B11" t="s">
        <v>57</v>
      </c>
      <c r="C11">
        <v>8</v>
      </c>
      <c r="D11">
        <f>VLOOKUP($A11,theory!$B$1:$C$50,2,FALSE)</f>
        <v>61</v>
      </c>
      <c r="E11">
        <f>VLOOKUP($A11,theory!$B$1:$E$50,4,FALSE)</f>
        <v>125</v>
      </c>
      <c r="G11" t="str">
        <f t="shared" si="1"/>
        <v>"#db7093" : 8 ,</v>
      </c>
      <c r="J11" t="str">
        <f t="shared" si="2"/>
        <v>#db7093 : 8 ,</v>
      </c>
      <c r="L11" t="str">
        <f t="shared" si="3"/>
        <v>"palevioletred",</v>
      </c>
      <c r="N11">
        <f t="shared" si="0"/>
        <v>7</v>
      </c>
      <c r="Q11" t="str">
        <f t="shared" si="4"/>
        <v xml:space="preserve">"#db7093", </v>
      </c>
      <c r="S11" t="str">
        <f t="shared" si="5"/>
        <v>"palevioletred" : 8 ,</v>
      </c>
    </row>
    <row r="12" spans="1:19" x14ac:dyDescent="0.3">
      <c r="A12" t="s">
        <v>176</v>
      </c>
      <c r="B12" t="s">
        <v>58</v>
      </c>
      <c r="C12">
        <v>9</v>
      </c>
      <c r="D12">
        <f>VLOOKUP($A12,theory!$B$1:$C$50,2,FALSE)</f>
        <v>51</v>
      </c>
      <c r="E12">
        <f>VLOOKUP($A12,theory!$B$1:$E$50,4,FALSE)</f>
        <v>115</v>
      </c>
      <c r="G12" t="str">
        <f t="shared" si="1"/>
        <v>"#ffa07a" : 9 ,</v>
      </c>
      <c r="J12" t="str">
        <f t="shared" si="2"/>
        <v>#ffa07a : 9 ,</v>
      </c>
      <c r="L12" t="str">
        <f t="shared" si="3"/>
        <v>"lightsalmon",</v>
      </c>
      <c r="N12">
        <f t="shared" si="0"/>
        <v>7</v>
      </c>
      <c r="Q12" t="str">
        <f t="shared" si="4"/>
        <v xml:space="preserve">"#ffa07a", </v>
      </c>
      <c r="S12" t="str">
        <f t="shared" si="5"/>
        <v>"lightsalmon" : 9 ,</v>
      </c>
    </row>
    <row r="13" spans="1:19" x14ac:dyDescent="0.3">
      <c r="A13" t="s">
        <v>177</v>
      </c>
      <c r="B13" t="s">
        <v>59</v>
      </c>
      <c r="C13">
        <v>10</v>
      </c>
      <c r="D13">
        <f>VLOOKUP($A13,theory!$B$1:$C$50,2,FALSE)</f>
        <v>52</v>
      </c>
      <c r="E13">
        <f>VLOOKUP($A13,theory!$B$1:$E$50,4,FALSE)</f>
        <v>116</v>
      </c>
      <c r="G13" t="str">
        <f t="shared" si="1"/>
        <v>"#ff6347" : 10 ,</v>
      </c>
      <c r="J13" t="str">
        <f t="shared" si="2"/>
        <v>#ff6347 : 10 ,</v>
      </c>
      <c r="L13" t="str">
        <f t="shared" si="3"/>
        <v>"tomato",</v>
      </c>
      <c r="N13">
        <f t="shared" si="0"/>
        <v>7</v>
      </c>
      <c r="Q13" t="str">
        <f t="shared" si="4"/>
        <v xml:space="preserve">"#ff6347", </v>
      </c>
      <c r="S13" t="str">
        <f t="shared" si="5"/>
        <v>"tomato" : 10 ,</v>
      </c>
    </row>
    <row r="14" spans="1:19" x14ac:dyDescent="0.3">
      <c r="A14" t="s">
        <v>217</v>
      </c>
      <c r="B14" t="s">
        <v>60</v>
      </c>
      <c r="C14">
        <v>11</v>
      </c>
      <c r="D14">
        <f>VLOOKUP($A14,theory!$B$1:$C$50,2,FALSE)</f>
        <v>53</v>
      </c>
      <c r="E14">
        <f>VLOOKUP($A14,theory!$B$1:$E$50,4,FALSE)</f>
        <v>117</v>
      </c>
      <c r="G14" t="str">
        <f t="shared" si="1"/>
        <v>"#ff4500" : 11 ,</v>
      </c>
      <c r="J14" t="str">
        <f t="shared" si="2"/>
        <v>#ff4500 : 11 ,</v>
      </c>
      <c r="L14" t="str">
        <f t="shared" si="3"/>
        <v>"orangered",</v>
      </c>
      <c r="N14">
        <f t="shared" si="0"/>
        <v>7</v>
      </c>
      <c r="Q14" t="str">
        <f t="shared" si="4"/>
        <v xml:space="preserve">"#ff4500", </v>
      </c>
      <c r="S14" t="str">
        <f t="shared" si="5"/>
        <v>"orangered" : 11 ,</v>
      </c>
    </row>
    <row r="15" spans="1:19" x14ac:dyDescent="0.3">
      <c r="A15" t="s">
        <v>178</v>
      </c>
      <c r="B15" t="s">
        <v>61</v>
      </c>
      <c r="C15">
        <v>12</v>
      </c>
      <c r="D15">
        <f>VLOOKUP($A15,theory!$B$1:$C$50,2,FALSE)</f>
        <v>54</v>
      </c>
      <c r="E15">
        <f>VLOOKUP($A15,theory!$B$1:$E$50,4,FALSE)</f>
        <v>118</v>
      </c>
      <c r="G15" t="str">
        <f t="shared" si="1"/>
        <v>"#ff8c00" : 12 ,</v>
      </c>
      <c r="J15" t="str">
        <f t="shared" si="2"/>
        <v>#ff8c00 : 12 ,</v>
      </c>
      <c r="L15" t="str">
        <f t="shared" si="3"/>
        <v>"darkorange",</v>
      </c>
      <c r="N15">
        <f t="shared" si="0"/>
        <v>7</v>
      </c>
      <c r="Q15" t="str">
        <f t="shared" si="4"/>
        <v xml:space="preserve">"#ff8c00", </v>
      </c>
      <c r="S15" t="str">
        <f t="shared" si="5"/>
        <v>"darkorange" : 12 ,</v>
      </c>
    </row>
    <row r="16" spans="1:19" x14ac:dyDescent="0.3">
      <c r="A16" t="s">
        <v>179</v>
      </c>
      <c r="B16" t="s">
        <v>62</v>
      </c>
      <c r="C16">
        <v>13</v>
      </c>
      <c r="D16">
        <f>VLOOKUP($A16,theory!$B$1:$C$50,2,FALSE)</f>
        <v>8</v>
      </c>
      <c r="E16">
        <f>VLOOKUP($A16,theory!$B$1:$E$50,4,FALSE)</f>
        <v>22</v>
      </c>
      <c r="G16" t="str">
        <f t="shared" si="1"/>
        <v>"#ffa500" : 13 ,</v>
      </c>
      <c r="J16" t="str">
        <f t="shared" si="2"/>
        <v>#ffa500 : 13 ,</v>
      </c>
      <c r="L16" t="str">
        <f t="shared" si="3"/>
        <v>"orange",</v>
      </c>
      <c r="N16">
        <f t="shared" si="0"/>
        <v>7</v>
      </c>
      <c r="Q16" t="str">
        <f t="shared" si="4"/>
        <v xml:space="preserve">"#ffa500", </v>
      </c>
      <c r="S16" t="str">
        <f t="shared" si="5"/>
        <v>"orange" : 13 ,</v>
      </c>
    </row>
    <row r="17" spans="1:19" x14ac:dyDescent="0.3">
      <c r="A17" t="s">
        <v>180</v>
      </c>
      <c r="B17" t="s">
        <v>63</v>
      </c>
      <c r="C17">
        <v>14</v>
      </c>
      <c r="D17">
        <f>VLOOKUP($A17,theory!$B$1:$C$50,2,FALSE)</f>
        <v>47</v>
      </c>
      <c r="E17">
        <f>VLOOKUP($A17,theory!$B$1:$E$50,4,FALSE)</f>
        <v>111</v>
      </c>
      <c r="G17" t="str">
        <f t="shared" si="1"/>
        <v>"#ffd700" : 14 ,</v>
      </c>
      <c r="J17" t="str">
        <f t="shared" si="2"/>
        <v>#ffd700 : 14 ,</v>
      </c>
      <c r="L17" t="str">
        <f t="shared" si="3"/>
        <v>"gold",</v>
      </c>
      <c r="N17">
        <f t="shared" si="0"/>
        <v>7</v>
      </c>
      <c r="Q17" t="str">
        <f t="shared" si="4"/>
        <v xml:space="preserve">"#ffd700", </v>
      </c>
      <c r="S17" t="str">
        <f t="shared" si="5"/>
        <v>"gold" : 14 ,</v>
      </c>
    </row>
    <row r="18" spans="1:19" x14ac:dyDescent="0.3">
      <c r="A18" t="s">
        <v>181</v>
      </c>
      <c r="B18" t="s">
        <v>64</v>
      </c>
      <c r="C18">
        <v>15</v>
      </c>
      <c r="D18">
        <f>VLOOKUP($A18,theory!$B$1:$C$50,2,FALSE)</f>
        <v>4</v>
      </c>
      <c r="E18">
        <f>VLOOKUP($A18,theory!$B$1:$E$50,4,FALSE)</f>
        <v>18</v>
      </c>
      <c r="G18" t="str">
        <f t="shared" si="1"/>
        <v>"#ffff00" : 15 ,</v>
      </c>
      <c r="J18" t="str">
        <f t="shared" si="2"/>
        <v>#ffff00 : 15 ,</v>
      </c>
      <c r="L18" t="str">
        <f t="shared" si="3"/>
        <v>"yellow",</v>
      </c>
      <c r="N18">
        <f t="shared" si="0"/>
        <v>7</v>
      </c>
      <c r="Q18" t="str">
        <f t="shared" si="4"/>
        <v xml:space="preserve">"#ffff00", </v>
      </c>
      <c r="S18" t="str">
        <f t="shared" si="5"/>
        <v>"yellow" : 15 ,</v>
      </c>
    </row>
    <row r="19" spans="1:19" x14ac:dyDescent="0.3">
      <c r="A19" t="s">
        <v>182</v>
      </c>
      <c r="B19" t="s">
        <v>65</v>
      </c>
      <c r="C19">
        <v>16</v>
      </c>
      <c r="D19">
        <f>VLOOKUP($A19,theory!$B$1:$C$50,2,FALSE)</f>
        <v>50</v>
      </c>
      <c r="E19">
        <f>VLOOKUP($A19,theory!$B$1:$E$50,4,FALSE)</f>
        <v>114</v>
      </c>
      <c r="G19" t="str">
        <f t="shared" si="1"/>
        <v>"#ffffe0" : 16 ,</v>
      </c>
      <c r="J19" t="str">
        <f t="shared" si="2"/>
        <v>#ffffe0 : 16 ,</v>
      </c>
      <c r="L19" t="str">
        <f t="shared" si="3"/>
        <v>"lightyellow",</v>
      </c>
      <c r="N19">
        <f t="shared" si="0"/>
        <v>7</v>
      </c>
      <c r="Q19" t="str">
        <f t="shared" si="4"/>
        <v xml:space="preserve">"#ffffe0", </v>
      </c>
      <c r="S19" t="str">
        <f t="shared" si="5"/>
        <v>"lightyellow" : 16 ,</v>
      </c>
    </row>
    <row r="20" spans="1:19" x14ac:dyDescent="0.3">
      <c r="A20" t="s">
        <v>183</v>
      </c>
      <c r="B20" t="s">
        <v>66</v>
      </c>
      <c r="C20">
        <v>17</v>
      </c>
      <c r="D20">
        <f>VLOOKUP($A20,theory!$B$1:$C$50,2,FALSE)</f>
        <v>48</v>
      </c>
      <c r="E20">
        <f>VLOOKUP($A20,theory!$B$1:$E$50,4,FALSE)</f>
        <v>112</v>
      </c>
      <c r="G20" t="str">
        <f t="shared" si="1"/>
        <v>"#f0e68c" : 17 ,</v>
      </c>
      <c r="J20" t="str">
        <f t="shared" si="2"/>
        <v>#f0e68c : 17 ,</v>
      </c>
      <c r="L20" t="str">
        <f t="shared" si="3"/>
        <v>"khaki",</v>
      </c>
      <c r="N20">
        <f t="shared" si="0"/>
        <v>7</v>
      </c>
      <c r="Q20" t="str">
        <f t="shared" si="4"/>
        <v xml:space="preserve">"#f0e68c", </v>
      </c>
      <c r="S20" t="str">
        <f t="shared" si="5"/>
        <v>"khaki" : 17 ,</v>
      </c>
    </row>
    <row r="21" spans="1:19" x14ac:dyDescent="0.3">
      <c r="A21" t="s">
        <v>184</v>
      </c>
      <c r="B21" t="s">
        <v>67</v>
      </c>
      <c r="C21">
        <v>18</v>
      </c>
      <c r="D21">
        <f>VLOOKUP($A21,theory!$B$1:$C$50,2,FALSE)</f>
        <v>49</v>
      </c>
      <c r="E21">
        <f>VLOOKUP($A21,theory!$B$1:$E$50,4,FALSE)</f>
        <v>113</v>
      </c>
      <c r="G21" t="str">
        <f t="shared" si="1"/>
        <v>"#bdb76b" : 18 ,</v>
      </c>
      <c r="J21" t="str">
        <f t="shared" si="2"/>
        <v>#bdb76b : 18 ,</v>
      </c>
      <c r="L21" t="str">
        <f t="shared" si="3"/>
        <v>"darkkhaki",</v>
      </c>
      <c r="N21">
        <f t="shared" si="0"/>
        <v>7</v>
      </c>
      <c r="Q21" t="str">
        <f t="shared" si="4"/>
        <v xml:space="preserve">"#bdb76b", </v>
      </c>
      <c r="S21" t="str">
        <f t="shared" si="5"/>
        <v>"darkkhaki" : 18 ,</v>
      </c>
    </row>
    <row r="22" spans="1:19" x14ac:dyDescent="0.3">
      <c r="A22" t="s">
        <v>185</v>
      </c>
      <c r="B22" t="s">
        <v>68</v>
      </c>
      <c r="C22">
        <v>19</v>
      </c>
      <c r="D22">
        <f>VLOOKUP($A22,theory!$B$1:$C$50,2,FALSE)</f>
        <v>38</v>
      </c>
      <c r="E22">
        <f>VLOOKUP($A22,theory!$B$1:$E$50,4,FALSE)</f>
        <v>102</v>
      </c>
      <c r="G22" t="str">
        <f t="shared" si="1"/>
        <v>"#e6e6fa" : 19 ,</v>
      </c>
      <c r="J22" t="str">
        <f t="shared" si="2"/>
        <v>#e6e6fa : 19 ,</v>
      </c>
      <c r="L22" t="str">
        <f t="shared" si="3"/>
        <v>"lavender",</v>
      </c>
      <c r="N22">
        <f t="shared" si="0"/>
        <v>7</v>
      </c>
      <c r="Q22" t="str">
        <f t="shared" si="4"/>
        <v xml:space="preserve">"#e6e6fa", </v>
      </c>
      <c r="S22" t="str">
        <f t="shared" si="5"/>
        <v>"lavender" : 19 ,</v>
      </c>
    </row>
    <row r="23" spans="1:19" x14ac:dyDescent="0.3">
      <c r="A23" t="s">
        <v>186</v>
      </c>
      <c r="B23" t="s">
        <v>69</v>
      </c>
      <c r="C23">
        <v>20</v>
      </c>
      <c r="D23">
        <f>VLOOKUP($A23,theory!$B$1:$C$50,2,FALSE)</f>
        <v>45</v>
      </c>
      <c r="E23">
        <f>VLOOKUP($A23,theory!$B$1:$E$50,4,FALSE)</f>
        <v>109</v>
      </c>
      <c r="G23" t="str">
        <f t="shared" si="1"/>
        <v>"#d8bfd8" : 20 ,</v>
      </c>
      <c r="J23" t="str">
        <f t="shared" si="2"/>
        <v>#d8bfd8 : 20 ,</v>
      </c>
      <c r="L23" t="str">
        <f t="shared" si="3"/>
        <v>"thistle",</v>
      </c>
      <c r="N23">
        <f t="shared" si="0"/>
        <v>7</v>
      </c>
      <c r="Q23" t="str">
        <f t="shared" si="4"/>
        <v xml:space="preserve">"#d8bfd8", </v>
      </c>
      <c r="S23" t="str">
        <f t="shared" si="5"/>
        <v>"thistle" : 20 ,</v>
      </c>
    </row>
    <row r="24" spans="1:19" x14ac:dyDescent="0.3">
      <c r="A24" t="s">
        <v>187</v>
      </c>
      <c r="B24" t="s">
        <v>70</v>
      </c>
      <c r="C24">
        <v>21</v>
      </c>
      <c r="D24">
        <f>VLOOKUP($A24,theory!$B$1:$C$50,2,FALSE)</f>
        <v>5</v>
      </c>
      <c r="E24">
        <f>VLOOKUP($A24,theory!$B$1:$E$50,4,FALSE)</f>
        <v>19</v>
      </c>
      <c r="G24" t="str">
        <f t="shared" si="1"/>
        <v>"#da70d6" : 21 ,</v>
      </c>
      <c r="J24" t="str">
        <f t="shared" si="2"/>
        <v>#da70d6 : 21 ,</v>
      </c>
      <c r="L24" t="str">
        <f t="shared" si="3"/>
        <v>"orchid",</v>
      </c>
      <c r="N24">
        <f t="shared" si="0"/>
        <v>7</v>
      </c>
      <c r="Q24" t="str">
        <f t="shared" si="4"/>
        <v xml:space="preserve">"#da70d6", </v>
      </c>
      <c r="S24" t="str">
        <f t="shared" si="5"/>
        <v>"orchid" : 21 ,</v>
      </c>
    </row>
    <row r="25" spans="1:19" x14ac:dyDescent="0.3">
      <c r="A25" t="s">
        <v>188</v>
      </c>
      <c r="B25" t="s">
        <v>71</v>
      </c>
      <c r="C25">
        <v>22</v>
      </c>
      <c r="D25">
        <f>VLOOKUP($A25,theory!$B$1:$C$50,2,FALSE)</f>
        <v>46</v>
      </c>
      <c r="E25">
        <f>VLOOKUP($A25,theory!$B$1:$E$50,4,FALSE)</f>
        <v>110</v>
      </c>
      <c r="G25" t="str">
        <f t="shared" si="1"/>
        <v>"#663399" : 22 ,</v>
      </c>
      <c r="J25" t="str">
        <f t="shared" si="2"/>
        <v>#663399 : 22 ,</v>
      </c>
      <c r="L25" t="str">
        <f t="shared" si="3"/>
        <v>"rebeccapurple",</v>
      </c>
      <c r="N25">
        <f t="shared" si="0"/>
        <v>7</v>
      </c>
      <c r="Q25" t="str">
        <f t="shared" si="4"/>
        <v xml:space="preserve">"#663399", </v>
      </c>
      <c r="S25" t="str">
        <f t="shared" si="5"/>
        <v>"rebeccapurple" : 22 ,</v>
      </c>
    </row>
    <row r="26" spans="1:19" x14ac:dyDescent="0.3">
      <c r="A26" t="s">
        <v>189</v>
      </c>
      <c r="B26" t="s">
        <v>72</v>
      </c>
      <c r="C26">
        <v>23</v>
      </c>
      <c r="D26">
        <f>VLOOKUP($A26,theory!$B$1:$C$50,2,FALSE)</f>
        <v>44</v>
      </c>
      <c r="E26">
        <f>VLOOKUP($A26,theory!$B$1:$E$50,4,FALSE)</f>
        <v>108</v>
      </c>
      <c r="G26" t="str">
        <f t="shared" si="1"/>
        <v>"#8a2be2" : 23 ,</v>
      </c>
      <c r="J26" t="str">
        <f t="shared" si="2"/>
        <v>#8a2be2 : 23 ,</v>
      </c>
      <c r="L26" t="str">
        <f t="shared" si="3"/>
        <v>"blueviolet",</v>
      </c>
      <c r="N26">
        <f t="shared" si="0"/>
        <v>7</v>
      </c>
      <c r="Q26" t="str">
        <f t="shared" si="4"/>
        <v xml:space="preserve">"#8a2be2", </v>
      </c>
      <c r="S26" t="str">
        <f t="shared" si="5"/>
        <v>"blueviolet" : 23 ,</v>
      </c>
    </row>
    <row r="27" spans="1:19" x14ac:dyDescent="0.3">
      <c r="A27" t="s">
        <v>190</v>
      </c>
      <c r="B27" t="s">
        <v>73</v>
      </c>
      <c r="C27">
        <v>24</v>
      </c>
      <c r="D27">
        <f>VLOOKUP($A27,theory!$B$1:$C$50,2,FALSE)</f>
        <v>3</v>
      </c>
      <c r="E27">
        <f>VLOOKUP($A27,theory!$B$1:$E$50,4,FALSE)</f>
        <v>17</v>
      </c>
      <c r="G27" t="str">
        <f t="shared" si="1"/>
        <v>"#800080" : 24 ,</v>
      </c>
      <c r="J27" t="str">
        <f t="shared" si="2"/>
        <v>#800080 : 24 ,</v>
      </c>
      <c r="L27" t="str">
        <f t="shared" si="3"/>
        <v>"purple",</v>
      </c>
      <c r="N27">
        <f t="shared" si="0"/>
        <v>7</v>
      </c>
      <c r="Q27" t="str">
        <f t="shared" si="4"/>
        <v xml:space="preserve">"#800080", </v>
      </c>
      <c r="S27" t="str">
        <f t="shared" si="5"/>
        <v>"purple" : 24 ,</v>
      </c>
    </row>
    <row r="28" spans="1:19" x14ac:dyDescent="0.3">
      <c r="A28" t="s">
        <v>191</v>
      </c>
      <c r="B28" t="s">
        <v>74</v>
      </c>
      <c r="C28">
        <v>25</v>
      </c>
      <c r="D28">
        <f>VLOOKUP($A28,theory!$B$1:$C$50,2,FALSE)</f>
        <v>43</v>
      </c>
      <c r="E28">
        <f>VLOOKUP($A28,theory!$B$1:$E$50,4,FALSE)</f>
        <v>107</v>
      </c>
      <c r="G28" t="str">
        <f t="shared" si="1"/>
        <v>"#4b0082" : 25 ,</v>
      </c>
      <c r="J28" t="str">
        <f t="shared" si="2"/>
        <v>#4b0082 : 25 ,</v>
      </c>
      <c r="L28" t="str">
        <f t="shared" si="3"/>
        <v>"indigo",</v>
      </c>
      <c r="N28">
        <f t="shared" si="0"/>
        <v>7</v>
      </c>
      <c r="Q28" t="str">
        <f t="shared" si="4"/>
        <v xml:space="preserve">"#4b0082", </v>
      </c>
      <c r="S28" t="str">
        <f t="shared" si="5"/>
        <v>"indigo" : 25 ,</v>
      </c>
    </row>
    <row r="29" spans="1:19" x14ac:dyDescent="0.3">
      <c r="A29" t="s">
        <v>192</v>
      </c>
      <c r="B29" t="s">
        <v>75</v>
      </c>
      <c r="C29">
        <v>26</v>
      </c>
      <c r="D29">
        <f>VLOOKUP($A29,theory!$B$1:$C$50,2,FALSE)</f>
        <v>13</v>
      </c>
      <c r="E29">
        <f>VLOOKUP($A29,theory!$B$1:$E$50,4,FALSE)</f>
        <v>27</v>
      </c>
      <c r="G29" t="str">
        <f t="shared" si="1"/>
        <v>"#7b68ee" : 26 ,</v>
      </c>
      <c r="J29" t="str">
        <f t="shared" si="2"/>
        <v>#7b68ee : 26 ,</v>
      </c>
      <c r="L29" t="str">
        <f t="shared" si="3"/>
        <v>"mediumslateblue",</v>
      </c>
      <c r="N29">
        <f t="shared" si="0"/>
        <v>7</v>
      </c>
      <c r="Q29" t="str">
        <f t="shared" si="4"/>
        <v xml:space="preserve">"#7b68ee", </v>
      </c>
      <c r="S29" t="str">
        <f t="shared" si="5"/>
        <v>"mediumslateblue" : 26 ,</v>
      </c>
    </row>
    <row r="30" spans="1:19" x14ac:dyDescent="0.3">
      <c r="A30" t="s">
        <v>193</v>
      </c>
      <c r="B30" t="s">
        <v>76</v>
      </c>
      <c r="C30">
        <v>27</v>
      </c>
      <c r="D30">
        <f>VLOOKUP($A30,theory!$B$1:$C$50,2,FALSE)</f>
        <v>1</v>
      </c>
      <c r="E30">
        <f>VLOOKUP($A30,theory!$B$1:$E$50,4,FALSE)</f>
        <v>15</v>
      </c>
      <c r="G30" t="str">
        <f t="shared" si="1"/>
        <v>"#00ff00" : 27 ,</v>
      </c>
      <c r="J30" t="str">
        <f t="shared" si="2"/>
        <v>#00ff00 : 27 ,</v>
      </c>
      <c r="L30" t="str">
        <f t="shared" si="3"/>
        <v>"lime",</v>
      </c>
      <c r="N30">
        <f t="shared" si="0"/>
        <v>7</v>
      </c>
      <c r="Q30" t="str">
        <f t="shared" si="4"/>
        <v xml:space="preserve">"#00ff00", </v>
      </c>
      <c r="S30" t="str">
        <f t="shared" si="5"/>
        <v>"lime" : 27 ,</v>
      </c>
    </row>
    <row r="31" spans="1:19" x14ac:dyDescent="0.3">
      <c r="A31" t="s">
        <v>194</v>
      </c>
      <c r="B31" t="s">
        <v>77</v>
      </c>
      <c r="C31">
        <v>28</v>
      </c>
      <c r="D31">
        <f>VLOOKUP($A31,theory!$B$1:$C$50,2,FALSE)</f>
        <v>41</v>
      </c>
      <c r="E31">
        <f>VLOOKUP($A31,theory!$B$1:$E$50,4,FALSE)</f>
        <v>105</v>
      </c>
      <c r="G31" t="str">
        <f t="shared" si="1"/>
        <v>"#228b22" : 28 ,</v>
      </c>
      <c r="J31" t="str">
        <f t="shared" si="2"/>
        <v>#228b22 : 28 ,</v>
      </c>
      <c r="L31" t="str">
        <f t="shared" si="3"/>
        <v>"forestgreen",</v>
      </c>
      <c r="N31">
        <f t="shared" si="0"/>
        <v>7</v>
      </c>
      <c r="Q31" t="str">
        <f t="shared" si="4"/>
        <v xml:space="preserve">"#228b22", </v>
      </c>
      <c r="S31" t="str">
        <f t="shared" si="5"/>
        <v>"forestgreen" : 28 ,</v>
      </c>
    </row>
    <row r="32" spans="1:19" x14ac:dyDescent="0.3">
      <c r="A32" t="s">
        <v>195</v>
      </c>
      <c r="B32" t="s">
        <v>96</v>
      </c>
      <c r="C32">
        <v>29</v>
      </c>
      <c r="D32">
        <f>VLOOKUP($A32,theory!$B$1:$C$50,2,FALSE)</f>
        <v>14</v>
      </c>
      <c r="E32">
        <f>VLOOKUP($A32,theory!$B$1:$E$50,4,FALSE)</f>
        <v>28</v>
      </c>
      <c r="G32" t="str">
        <f t="shared" si="1"/>
        <v>"#006400" : 29 ,</v>
      </c>
      <c r="J32" t="str">
        <f t="shared" si="2"/>
        <v>#006400 : 29 ,</v>
      </c>
      <c r="L32" t="str">
        <f t="shared" si="3"/>
        <v>"darkgreen",</v>
      </c>
      <c r="N32">
        <f t="shared" si="0"/>
        <v>7</v>
      </c>
      <c r="Q32" t="str">
        <f t="shared" si="4"/>
        <v xml:space="preserve">"#006400", </v>
      </c>
      <c r="S32" t="str">
        <f t="shared" si="5"/>
        <v>"darkgreen" : 29 ,</v>
      </c>
    </row>
    <row r="33" spans="1:19" x14ac:dyDescent="0.3">
      <c r="A33" t="s">
        <v>196</v>
      </c>
      <c r="B33" t="s">
        <v>78</v>
      </c>
      <c r="C33">
        <v>30</v>
      </c>
      <c r="D33">
        <f>VLOOKUP($A33,theory!$B$1:$C$50,2,FALSE)</f>
        <v>12</v>
      </c>
      <c r="E33">
        <f>VLOOKUP($A33,theory!$B$1:$E$50,4,FALSE)</f>
        <v>26</v>
      </c>
      <c r="G33" t="str">
        <f t="shared" si="1"/>
        <v>"#6b8e23" : 30 ,</v>
      </c>
      <c r="J33" t="str">
        <f t="shared" si="2"/>
        <v>#6b8e23 : 30 ,</v>
      </c>
      <c r="L33" t="str">
        <f t="shared" si="3"/>
        <v>"olivedrab",</v>
      </c>
      <c r="N33">
        <f t="shared" si="0"/>
        <v>7</v>
      </c>
      <c r="Q33" t="str">
        <f t="shared" si="4"/>
        <v xml:space="preserve">"#6b8e23", </v>
      </c>
      <c r="S33" t="str">
        <f t="shared" si="5"/>
        <v>"olivedrab" : 30 ,</v>
      </c>
    </row>
    <row r="34" spans="1:19" x14ac:dyDescent="0.3">
      <c r="A34" t="s">
        <v>197</v>
      </c>
      <c r="B34" t="s">
        <v>79</v>
      </c>
      <c r="C34">
        <v>31</v>
      </c>
      <c r="D34">
        <f>VLOOKUP($A34,theory!$B$1:$C$50,2,FALSE)</f>
        <v>42</v>
      </c>
      <c r="E34">
        <f>VLOOKUP($A34,theory!$B$1:$E$50,4,FALSE)</f>
        <v>106</v>
      </c>
      <c r="G34" t="str">
        <f t="shared" si="1"/>
        <v>"#808000" : 31 ,</v>
      </c>
      <c r="J34" t="str">
        <f t="shared" si="2"/>
        <v>#808000 : 31 ,</v>
      </c>
      <c r="L34" t="str">
        <f t="shared" si="3"/>
        <v>"olive",</v>
      </c>
      <c r="N34">
        <f t="shared" si="0"/>
        <v>7</v>
      </c>
      <c r="Q34" t="str">
        <f t="shared" si="4"/>
        <v xml:space="preserve">"#808000", </v>
      </c>
      <c r="S34" t="str">
        <f t="shared" si="5"/>
        <v>"olive" : 31 ,</v>
      </c>
    </row>
    <row r="35" spans="1:19" x14ac:dyDescent="0.3">
      <c r="A35" t="s">
        <v>198</v>
      </c>
      <c r="B35" t="s">
        <v>80</v>
      </c>
      <c r="C35">
        <v>32</v>
      </c>
      <c r="D35">
        <f>VLOOKUP($A35,theory!$B$1:$C$50,2,FALSE)</f>
        <v>40</v>
      </c>
      <c r="E35">
        <f>VLOOKUP($A35,theory!$B$1:$E$50,4,FALSE)</f>
        <v>104</v>
      </c>
      <c r="G35" t="str">
        <f t="shared" si="1"/>
        <v>"#8fbc8f" : 32 ,</v>
      </c>
      <c r="J35" t="str">
        <f t="shared" si="2"/>
        <v>#8fbc8f : 32 ,</v>
      </c>
      <c r="L35" t="str">
        <f t="shared" si="3"/>
        <v>"darkseagreen",</v>
      </c>
      <c r="N35">
        <f t="shared" si="0"/>
        <v>7</v>
      </c>
      <c r="Q35" t="str">
        <f t="shared" si="4"/>
        <v xml:space="preserve">"#8fbc8f", </v>
      </c>
      <c r="S35" t="str">
        <f t="shared" si="5"/>
        <v>"darkseagreen" : 32 ,</v>
      </c>
    </row>
    <row r="36" spans="1:19" x14ac:dyDescent="0.3">
      <c r="A36" t="s">
        <v>199</v>
      </c>
      <c r="B36" t="s">
        <v>97</v>
      </c>
      <c r="C36">
        <v>33</v>
      </c>
      <c r="D36">
        <f>VLOOKUP($A36,theory!$B$1:$C$50,2,FALSE)</f>
        <v>39</v>
      </c>
      <c r="E36">
        <f>VLOOKUP($A36,theory!$B$1:$E$50,4,FALSE)</f>
        <v>103</v>
      </c>
      <c r="G36" t="str">
        <f t="shared" si="1"/>
        <v>"#008080" : 33 ,</v>
      </c>
      <c r="J36" t="str">
        <f t="shared" si="2"/>
        <v>#008080 : 33 ,</v>
      </c>
      <c r="L36" t="str">
        <f t="shared" si="3"/>
        <v>"teal",</v>
      </c>
      <c r="N36">
        <f t="shared" si="0"/>
        <v>7</v>
      </c>
      <c r="Q36" t="str">
        <f t="shared" si="4"/>
        <v xml:space="preserve">"#008080", </v>
      </c>
      <c r="S36" t="str">
        <f t="shared" si="5"/>
        <v>"teal" : 33 ,</v>
      </c>
    </row>
    <row r="37" spans="1:19" x14ac:dyDescent="0.3">
      <c r="A37" t="s">
        <v>200</v>
      </c>
      <c r="B37" t="s">
        <v>81</v>
      </c>
      <c r="C37">
        <v>34</v>
      </c>
      <c r="D37">
        <f>VLOOKUP($A37,theory!$B$1:$C$50,2,FALSE)</f>
        <v>2</v>
      </c>
      <c r="E37">
        <f>VLOOKUP($A37,theory!$B$1:$E$50,4,FALSE)</f>
        <v>16</v>
      </c>
      <c r="G37" t="str">
        <f t="shared" si="1"/>
        <v>"#0000ff" : 34 ,</v>
      </c>
      <c r="J37" t="str">
        <f t="shared" si="2"/>
        <v>#0000ff : 34 ,</v>
      </c>
      <c r="L37" t="str">
        <f t="shared" si="3"/>
        <v>"blue",</v>
      </c>
      <c r="N37">
        <f t="shared" si="0"/>
        <v>7</v>
      </c>
      <c r="Q37" t="str">
        <f t="shared" si="4"/>
        <v xml:space="preserve">"#0000ff", </v>
      </c>
      <c r="S37" t="str">
        <f t="shared" si="5"/>
        <v>"blue" : 34 ,</v>
      </c>
    </row>
    <row r="38" spans="1:19" x14ac:dyDescent="0.3">
      <c r="A38" t="s">
        <v>201</v>
      </c>
      <c r="B38" t="s">
        <v>82</v>
      </c>
      <c r="C38">
        <v>35</v>
      </c>
      <c r="D38">
        <f>VLOOKUP($A38,theory!$B$1:$C$50,2,FALSE)</f>
        <v>29</v>
      </c>
      <c r="E38">
        <f>VLOOKUP($A38,theory!$B$1:$E$50,4,FALSE)</f>
        <v>93</v>
      </c>
      <c r="G38" t="str">
        <f t="shared" si="1"/>
        <v>"#00ffff" : 35 ,</v>
      </c>
      <c r="J38" t="str">
        <f t="shared" si="2"/>
        <v>#00ffff : 35 ,</v>
      </c>
      <c r="L38" t="str">
        <f t="shared" si="3"/>
        <v>"aqua",</v>
      </c>
      <c r="N38">
        <f t="shared" si="0"/>
        <v>7</v>
      </c>
      <c r="Q38" t="str">
        <f t="shared" si="4"/>
        <v xml:space="preserve">"#00ffff", </v>
      </c>
      <c r="S38" t="str">
        <f t="shared" si="5"/>
        <v>"aqua" : 35 ,</v>
      </c>
    </row>
    <row r="39" spans="1:19" x14ac:dyDescent="0.3">
      <c r="A39" t="s">
        <v>216</v>
      </c>
      <c r="B39" t="s">
        <v>83</v>
      </c>
      <c r="C39">
        <v>36</v>
      </c>
      <c r="D39">
        <f>VLOOKUP($A39,theory!$B$1:$C$50,2,FALSE)</f>
        <v>30</v>
      </c>
      <c r="E39">
        <f>VLOOKUP($A39,theory!$B$1:$E$50,4,FALSE)</f>
        <v>94</v>
      </c>
      <c r="G39" t="str">
        <f t="shared" si="1"/>
        <v>"#40e0d0" : 36 ,</v>
      </c>
      <c r="J39" t="str">
        <f t="shared" si="2"/>
        <v>#40e0d0 : 36 ,</v>
      </c>
      <c r="L39" t="str">
        <f t="shared" si="3"/>
        <v>"turquoise",</v>
      </c>
      <c r="N39">
        <f t="shared" si="0"/>
        <v>7</v>
      </c>
      <c r="Q39" t="str">
        <f t="shared" si="4"/>
        <v xml:space="preserve">"#40e0d0", </v>
      </c>
      <c r="S39" t="str">
        <f t="shared" si="5"/>
        <v>"turquoise" : 36 ,</v>
      </c>
    </row>
    <row r="40" spans="1:19" x14ac:dyDescent="0.3">
      <c r="A40" t="s">
        <v>202</v>
      </c>
      <c r="B40" t="s">
        <v>84</v>
      </c>
      <c r="C40">
        <v>37</v>
      </c>
      <c r="D40">
        <f>VLOOKUP($A40,theory!$B$1:$C$50,2,FALSE)</f>
        <v>31</v>
      </c>
      <c r="E40">
        <f>VLOOKUP($A40,theory!$B$1:$E$50,4,FALSE)</f>
        <v>95</v>
      </c>
      <c r="G40" t="str">
        <f t="shared" si="1"/>
        <v>"#5f9ea0" : 37 ,</v>
      </c>
      <c r="J40" t="str">
        <f t="shared" si="2"/>
        <v>#5f9ea0 : 37 ,</v>
      </c>
      <c r="L40" t="str">
        <f t="shared" si="3"/>
        <v>"cadetblue",</v>
      </c>
      <c r="N40">
        <f t="shared" si="0"/>
        <v>7</v>
      </c>
      <c r="Q40" t="str">
        <f t="shared" si="4"/>
        <v xml:space="preserve">"#5f9ea0", </v>
      </c>
      <c r="S40" t="str">
        <f t="shared" si="5"/>
        <v>"cadetblue" : 37 ,</v>
      </c>
    </row>
    <row r="41" spans="1:19" x14ac:dyDescent="0.3">
      <c r="A41" t="s">
        <v>203</v>
      </c>
      <c r="B41" t="s">
        <v>85</v>
      </c>
      <c r="C41">
        <v>38</v>
      </c>
      <c r="D41">
        <f>VLOOKUP($A41,theory!$B$1:$C$50,2,FALSE)</f>
        <v>32</v>
      </c>
      <c r="E41">
        <f>VLOOKUP($A41,theory!$B$1:$E$50,4,FALSE)</f>
        <v>96</v>
      </c>
      <c r="G41" t="str">
        <f t="shared" si="1"/>
        <v>"#4682b4" : 38 ,</v>
      </c>
      <c r="J41" t="str">
        <f t="shared" si="2"/>
        <v>#4682b4 : 38 ,</v>
      </c>
      <c r="L41" t="str">
        <f t="shared" si="3"/>
        <v>"steelblue",</v>
      </c>
      <c r="N41">
        <f t="shared" si="0"/>
        <v>7</v>
      </c>
      <c r="Q41" t="str">
        <f t="shared" si="4"/>
        <v xml:space="preserve">"#4682b4", </v>
      </c>
      <c r="S41" t="str">
        <f t="shared" si="5"/>
        <v>"steelblue" : 38 ,</v>
      </c>
    </row>
    <row r="42" spans="1:19" x14ac:dyDescent="0.3">
      <c r="A42" t="s">
        <v>204</v>
      </c>
      <c r="B42" t="s">
        <v>86</v>
      </c>
      <c r="C42">
        <v>39</v>
      </c>
      <c r="D42">
        <f>VLOOKUP($A42,theory!$B$1:$C$50,2,FALSE)</f>
        <v>33</v>
      </c>
      <c r="E42">
        <f>VLOOKUP($A42,theory!$B$1:$E$50,4,FALSE)</f>
        <v>97</v>
      </c>
      <c r="G42" t="str">
        <f t="shared" si="1"/>
        <v>"#b0c4de" : 39 ,</v>
      </c>
      <c r="J42" t="str">
        <f t="shared" si="2"/>
        <v>#b0c4de : 39 ,</v>
      </c>
      <c r="L42" t="str">
        <f t="shared" si="3"/>
        <v>"lightsteelblue",</v>
      </c>
      <c r="N42">
        <f t="shared" si="0"/>
        <v>7</v>
      </c>
      <c r="Q42" t="str">
        <f t="shared" si="4"/>
        <v xml:space="preserve">"#b0c4de", </v>
      </c>
      <c r="S42" t="str">
        <f t="shared" si="5"/>
        <v>"lightsteelblue" : 39 ,</v>
      </c>
    </row>
    <row r="43" spans="1:19" x14ac:dyDescent="0.3">
      <c r="A43" t="s">
        <v>205</v>
      </c>
      <c r="B43" t="s">
        <v>87</v>
      </c>
      <c r="C43">
        <v>40</v>
      </c>
      <c r="D43">
        <f>VLOOKUP($A43,theory!$B$1:$C$50,2,FALSE)</f>
        <v>10</v>
      </c>
      <c r="E43">
        <f>VLOOKUP($A43,theory!$B$1:$E$50,4,FALSE)</f>
        <v>24</v>
      </c>
      <c r="G43" t="str">
        <f t="shared" si="1"/>
        <v>"#87ceeb" : 40 ,</v>
      </c>
      <c r="J43" t="str">
        <f t="shared" si="2"/>
        <v>#87ceeb : 40 ,</v>
      </c>
      <c r="L43" t="str">
        <f t="shared" si="3"/>
        <v>"skyblue",</v>
      </c>
      <c r="N43">
        <f t="shared" si="0"/>
        <v>7</v>
      </c>
      <c r="Q43" t="str">
        <f t="shared" si="4"/>
        <v xml:space="preserve">"#87ceeb", </v>
      </c>
      <c r="S43" t="str">
        <f t="shared" si="5"/>
        <v>"skyblue" : 40 ,</v>
      </c>
    </row>
    <row r="44" spans="1:19" x14ac:dyDescent="0.3">
      <c r="A44" t="s">
        <v>206</v>
      </c>
      <c r="B44" t="s">
        <v>88</v>
      </c>
      <c r="C44">
        <v>41</v>
      </c>
      <c r="D44">
        <f>VLOOKUP($A44,theory!$B$1:$C$50,2,FALSE)</f>
        <v>36</v>
      </c>
      <c r="E44">
        <f>VLOOKUP($A44,theory!$B$1:$E$50,4,FALSE)</f>
        <v>100</v>
      </c>
      <c r="G44" t="str">
        <f t="shared" si="1"/>
        <v>"#fff8dc" : 41 ,</v>
      </c>
      <c r="J44" t="str">
        <f t="shared" si="2"/>
        <v>#fff8dc : 41 ,</v>
      </c>
      <c r="L44" t="str">
        <f t="shared" si="3"/>
        <v>"cornsilk",</v>
      </c>
      <c r="N44">
        <f t="shared" si="0"/>
        <v>7</v>
      </c>
      <c r="Q44" t="str">
        <f t="shared" si="4"/>
        <v xml:space="preserve">"#fff8dc", </v>
      </c>
      <c r="S44" t="str">
        <f t="shared" si="5"/>
        <v>"cornsilk" : 41 ,</v>
      </c>
    </row>
    <row r="45" spans="1:19" x14ac:dyDescent="0.3">
      <c r="A45" t="s">
        <v>207</v>
      </c>
      <c r="B45" t="s">
        <v>89</v>
      </c>
      <c r="C45">
        <v>42</v>
      </c>
      <c r="D45">
        <f>VLOOKUP($A45,theory!$B$1:$C$50,2,FALSE)</f>
        <v>34</v>
      </c>
      <c r="E45">
        <f>VLOOKUP($A45,theory!$B$1:$E$50,4,FALSE)</f>
        <v>98</v>
      </c>
      <c r="G45" t="str">
        <f t="shared" si="1"/>
        <v>"#d2b48c" : 42 ,</v>
      </c>
      <c r="J45" t="str">
        <f t="shared" si="2"/>
        <v>#d2b48c : 42 ,</v>
      </c>
      <c r="L45" t="str">
        <f t="shared" si="3"/>
        <v>"tan",</v>
      </c>
      <c r="N45">
        <f t="shared" si="0"/>
        <v>7</v>
      </c>
      <c r="Q45" t="str">
        <f t="shared" si="4"/>
        <v xml:space="preserve">"#d2b48c", </v>
      </c>
      <c r="S45" t="str">
        <f t="shared" si="5"/>
        <v>"tan" : 42 ,</v>
      </c>
    </row>
    <row r="46" spans="1:19" x14ac:dyDescent="0.3">
      <c r="A46" t="s">
        <v>208</v>
      </c>
      <c r="B46" t="s">
        <v>90</v>
      </c>
      <c r="C46">
        <v>43</v>
      </c>
      <c r="D46">
        <f>VLOOKUP($A46,theory!$B$1:$C$50,2,FALSE)</f>
        <v>35</v>
      </c>
      <c r="E46">
        <f>VLOOKUP($A46,theory!$B$1:$E$50,4,FALSE)</f>
        <v>99</v>
      </c>
      <c r="G46" t="str">
        <f t="shared" si="1"/>
        <v>"#a52a2a" : 43 ,</v>
      </c>
      <c r="J46" t="str">
        <f t="shared" si="2"/>
        <v>#a52a2a : 43 ,</v>
      </c>
      <c r="L46" t="str">
        <f t="shared" si="3"/>
        <v>"brown",</v>
      </c>
      <c r="N46">
        <f t="shared" si="0"/>
        <v>7</v>
      </c>
      <c r="Q46" t="str">
        <f t="shared" si="4"/>
        <v xml:space="preserve">"#a52a2a", </v>
      </c>
      <c r="S46" t="str">
        <f t="shared" si="5"/>
        <v>"brown" : 43 ,</v>
      </c>
    </row>
    <row r="47" spans="1:19" x14ac:dyDescent="0.3">
      <c r="A47" t="s">
        <v>209</v>
      </c>
      <c r="B47" t="s">
        <v>91</v>
      </c>
      <c r="C47">
        <v>44</v>
      </c>
      <c r="D47">
        <f>VLOOKUP($A47,theory!$B$1:$C$50,2,FALSE)</f>
        <v>37</v>
      </c>
      <c r="E47">
        <f>VLOOKUP($A47,theory!$B$1:$E$50,4,FALSE)</f>
        <v>101</v>
      </c>
      <c r="G47" t="str">
        <f t="shared" si="1"/>
        <v>"#800000" : 44 ,</v>
      </c>
      <c r="J47" t="str">
        <f t="shared" si="2"/>
        <v>#800000 : 44 ,</v>
      </c>
      <c r="L47" t="str">
        <f t="shared" si="3"/>
        <v>"maroon",</v>
      </c>
      <c r="N47">
        <f t="shared" si="0"/>
        <v>7</v>
      </c>
      <c r="Q47" t="str">
        <f t="shared" si="4"/>
        <v xml:space="preserve">"#800000", </v>
      </c>
      <c r="S47" t="str">
        <f t="shared" si="5"/>
        <v>"maroon" : 44 ,</v>
      </c>
    </row>
    <row r="48" spans="1:19" x14ac:dyDescent="0.3">
      <c r="A48" t="s">
        <v>210</v>
      </c>
      <c r="B48" t="s">
        <v>92</v>
      </c>
      <c r="C48">
        <v>45</v>
      </c>
      <c r="D48">
        <f>VLOOKUP($A48,theory!$B$1:$C$50,2,FALSE)</f>
        <v>63</v>
      </c>
      <c r="E48">
        <f>VLOOKUP($A48,theory!$B$1:$E$50,4,FALSE)</f>
        <v>127</v>
      </c>
      <c r="G48" t="str">
        <f t="shared" si="1"/>
        <v>"#d3d3d3" : 45 ,</v>
      </c>
      <c r="J48" t="str">
        <f t="shared" si="2"/>
        <v>#d3d3d3 : 45 ,</v>
      </c>
      <c r="L48" t="str">
        <f t="shared" si="3"/>
        <v>"lightgray",</v>
      </c>
      <c r="N48">
        <f t="shared" si="0"/>
        <v>7</v>
      </c>
      <c r="Q48" t="str">
        <f t="shared" si="4"/>
        <v xml:space="preserve">"#d3d3d3", </v>
      </c>
      <c r="S48" t="str">
        <f t="shared" si="5"/>
        <v>"lightgray" : 45 ,</v>
      </c>
    </row>
    <row r="49" spans="1:19" x14ac:dyDescent="0.3">
      <c r="A49" t="s">
        <v>211</v>
      </c>
      <c r="B49" t="s">
        <v>93</v>
      </c>
      <c r="C49">
        <v>46</v>
      </c>
      <c r="D49">
        <f>VLOOKUP($A49,theory!$B$1:$C$50,2,FALSE)</f>
        <v>6</v>
      </c>
      <c r="E49">
        <f>VLOOKUP($A49,theory!$B$1:$E$50,4,FALSE)</f>
        <v>20</v>
      </c>
      <c r="G49" t="str">
        <f t="shared" si="1"/>
        <v>"#808080" : 46 ,</v>
      </c>
      <c r="J49" t="str">
        <f t="shared" si="2"/>
        <v>#808080 : 46 ,</v>
      </c>
      <c r="L49" t="str">
        <f t="shared" si="3"/>
        <v>"grey",</v>
      </c>
      <c r="N49">
        <f t="shared" si="0"/>
        <v>7</v>
      </c>
      <c r="Q49" t="str">
        <f t="shared" si="4"/>
        <v xml:space="preserve">"#808080", </v>
      </c>
      <c r="S49" t="str">
        <f t="shared" si="5"/>
        <v>"grey" : 46 ,</v>
      </c>
    </row>
    <row r="50" spans="1:19" x14ac:dyDescent="0.3">
      <c r="A50" t="s">
        <v>212</v>
      </c>
      <c r="B50" t="s">
        <v>94</v>
      </c>
      <c r="C50">
        <v>47</v>
      </c>
      <c r="D50">
        <f>VLOOKUP($A50,theory!$B$1:$C$50,2,FALSE)</f>
        <v>62</v>
      </c>
      <c r="E50">
        <f>VLOOKUP($A50,theory!$B$1:$E$50,4,FALSE)</f>
        <v>126</v>
      </c>
      <c r="G50" t="str">
        <f t="shared" si="1"/>
        <v>"#708090" : 47 ,</v>
      </c>
      <c r="J50" t="str">
        <f t="shared" si="2"/>
        <v>#708090 : 47 ,</v>
      </c>
      <c r="L50" t="str">
        <f t="shared" si="3"/>
        <v>"slategray",</v>
      </c>
      <c r="N50">
        <f t="shared" si="0"/>
        <v>7</v>
      </c>
      <c r="Q50" t="str">
        <f t="shared" si="4"/>
        <v xml:space="preserve">"#708090", </v>
      </c>
      <c r="S50" t="str">
        <f t="shared" si="5"/>
        <v>"slategray" : 47 ,</v>
      </c>
    </row>
    <row r="51" spans="1:19" x14ac:dyDescent="0.3">
      <c r="A51" t="s">
        <v>213</v>
      </c>
      <c r="B51" t="s">
        <v>95</v>
      </c>
      <c r="C51">
        <v>48</v>
      </c>
      <c r="D51">
        <f>VLOOKUP($A51,theory!$B$1:$C$50,2,FALSE)</f>
        <v>7</v>
      </c>
      <c r="E51">
        <f>VLOOKUP($A51,theory!$B$1:$E$50,4,FALSE)</f>
        <v>21</v>
      </c>
      <c r="G51" t="str">
        <f t="shared" si="1"/>
        <v>"#ffffff" : 48 ,</v>
      </c>
      <c r="J51" t="str">
        <f t="shared" si="2"/>
        <v>#ffffff : 48 ,</v>
      </c>
      <c r="L51" t="str">
        <f t="shared" si="3"/>
        <v>"white",</v>
      </c>
      <c r="N51">
        <f t="shared" si="0"/>
        <v>7</v>
      </c>
      <c r="Q51" t="str">
        <f t="shared" si="4"/>
        <v xml:space="preserve">"#ffffff", </v>
      </c>
      <c r="S51" t="str">
        <f t="shared" si="5"/>
        <v>"white" : 48 ,</v>
      </c>
    </row>
    <row r="52" spans="1:19" x14ac:dyDescent="0.3">
      <c r="A52" t="s">
        <v>214</v>
      </c>
      <c r="B52" t="s">
        <v>98</v>
      </c>
      <c r="C52">
        <v>49</v>
      </c>
      <c r="D52">
        <f>VLOOKUP($A52,theory!$B$1:$C$50,2,FALSE)</f>
        <v>0</v>
      </c>
      <c r="E52">
        <f>VLOOKUP($A52,theory!$B$1:$E$50,4,FALSE)</f>
        <v>64</v>
      </c>
      <c r="G52" t="str">
        <f t="shared" si="1"/>
        <v>"#000000" : 49 ,</v>
      </c>
      <c r="J52" t="str">
        <f t="shared" si="2"/>
        <v>#000000 : 49 ,</v>
      </c>
      <c r="L52" t="str">
        <f t="shared" si="3"/>
        <v>"black",</v>
      </c>
      <c r="N52">
        <f>LEN(B52)</f>
        <v>7</v>
      </c>
      <c r="Q52" t="str">
        <f t="shared" si="4"/>
        <v xml:space="preserve">"#000000", </v>
      </c>
      <c r="S52" t="str">
        <f t="shared" si="5"/>
        <v>"black" : 49 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A6CE-3C56-4D44-9885-20EDECE1732D}">
  <dimension ref="A1:O65"/>
  <sheetViews>
    <sheetView workbookViewId="0">
      <selection activeCell="L21" sqref="L21"/>
    </sheetView>
  </sheetViews>
  <sheetFormatPr defaultRowHeight="14.4" x14ac:dyDescent="0.3"/>
  <sheetData>
    <row r="1" spans="1:15" x14ac:dyDescent="0.3">
      <c r="A1" t="s">
        <v>99</v>
      </c>
      <c r="F1" t="str">
        <f>_xlfn.CONCAT("""",RIGHT(A1,LEN(A1)-7),"""")</f>
        <v>"f0 00 21 24 09 00 06 11 00 0e 00 00 00 00 00 00"</v>
      </c>
      <c r="G1" t="s">
        <v>166</v>
      </c>
    </row>
    <row r="2" spans="1:15" x14ac:dyDescent="0.3">
      <c r="A2" t="s">
        <v>100</v>
      </c>
      <c r="F2" t="str">
        <f t="shared" ref="F2:F65" si="0">_xlfn.CONCAT("""",RIGHT(A2,LEN(A2)-7),"""")</f>
        <v>"7f 00 03 01 0e 00 7f 01 17 00 24 07 2c 2f 01 01"</v>
      </c>
      <c r="G2" t="s">
        <v>165</v>
      </c>
    </row>
    <row r="3" spans="1:15" x14ac:dyDescent="0.3">
      <c r="A3" t="s">
        <v>101</v>
      </c>
      <c r="F3" t="str">
        <f t="shared" si="0"/>
        <v>"02 00 00 00 00 00 00 00 00 00 00 00 00 00 00 00"</v>
      </c>
      <c r="G3" t="s">
        <v>164</v>
      </c>
    </row>
    <row r="4" spans="1:15" x14ac:dyDescent="0.3">
      <c r="A4" t="s">
        <v>102</v>
      </c>
      <c r="F4" t="str">
        <f t="shared" si="0"/>
        <v>"7f 01 17 01 24 07 36 07 01 02 02 00 00 00 00 00"</v>
      </c>
    </row>
    <row r="5" spans="1:15" x14ac:dyDescent="0.3">
      <c r="A5" t="s">
        <v>103</v>
      </c>
      <c r="F5" t="str">
        <f t="shared" si="0"/>
        <v>"00 00 00 00 00 00 00 00 00 00 7f 01 17 02 24 07"</v>
      </c>
      <c r="G5" t="s">
        <v>219</v>
      </c>
    </row>
    <row r="6" spans="1:15" x14ac:dyDescent="0.3">
      <c r="A6" t="s">
        <v>104</v>
      </c>
      <c r="F6" t="str">
        <f t="shared" si="0"/>
        <v>"00 07 01 03 02 00 00 00 00 00 00 00 00 00 00 00"</v>
      </c>
      <c r="G6" t="s">
        <v>221</v>
      </c>
    </row>
    <row r="7" spans="1:15" x14ac:dyDescent="0.3">
      <c r="A7" t="s">
        <v>105</v>
      </c>
      <c r="F7" t="str">
        <f t="shared" si="0"/>
        <v>"00 00 00 00 7f 01 17 03 0e 03 00 00 01 07 02 00"</v>
      </c>
      <c r="G7" t="s">
        <v>220</v>
      </c>
    </row>
    <row r="8" spans="1:15" x14ac:dyDescent="0.3">
      <c r="A8" t="s">
        <v>106</v>
      </c>
      <c r="F8" t="str">
        <f t="shared" si="0"/>
        <v>"00 00 00 00 00 00 00 00 00 00 00 00 00 00 7f 01"</v>
      </c>
      <c r="G8" t="s">
        <v>222</v>
      </c>
    </row>
    <row r="9" spans="1:15" x14ac:dyDescent="0.3">
      <c r="A9" t="s">
        <v>107</v>
      </c>
      <c r="F9" t="str">
        <f t="shared" si="0"/>
        <v>"17 04 0e 04 00 00 01 08 02 00 00 00 00 00 00 00"</v>
      </c>
    </row>
    <row r="10" spans="1:15" x14ac:dyDescent="0.3">
      <c r="A10" t="s">
        <v>108</v>
      </c>
      <c r="F10" t="str">
        <f t="shared" si="0"/>
        <v>"00 00 00 00 00 00 00 00 7f 01 17 05 00 00 00 00"</v>
      </c>
    </row>
    <row r="11" spans="1:15" x14ac:dyDescent="0.3">
      <c r="A11" t="s">
        <v>109</v>
      </c>
      <c r="F11" t="str">
        <f t="shared" si="0"/>
        <v>"01 00 02 00 00 00 00 00 00 00 00 00 00 00 00 00"</v>
      </c>
      <c r="K11">
        <v>58</v>
      </c>
      <c r="M11">
        <v>40</v>
      </c>
      <c r="O11">
        <v>75</v>
      </c>
    </row>
    <row r="12" spans="1:15" x14ac:dyDescent="0.3">
      <c r="A12" t="s">
        <v>110</v>
      </c>
      <c r="F12" t="str">
        <f t="shared" si="0"/>
        <v>"00 00 7f 01 17 06 00 00 00 00 01 00 02 00 00 00"</v>
      </c>
      <c r="K12">
        <v>227</v>
      </c>
      <c r="M12">
        <v>262</v>
      </c>
      <c r="O12">
        <v>192</v>
      </c>
    </row>
    <row r="13" spans="1:15" x14ac:dyDescent="0.3">
      <c r="A13" t="s">
        <v>111</v>
      </c>
      <c r="F13" t="str">
        <f t="shared" si="0"/>
        <v>"00 00 00 00 00 00 00 00 00 00 00 00 7f 01 17 07"</v>
      </c>
      <c r="K13">
        <f>K11/100*K12+(100-K11)</f>
        <v>173.66</v>
      </c>
      <c r="M13">
        <f>M11/100*M12+(100-M11)</f>
        <v>164.8</v>
      </c>
      <c r="O13">
        <f>O11/100*O12+(100-O11)</f>
        <v>169</v>
      </c>
    </row>
    <row r="14" spans="1:15" x14ac:dyDescent="0.3">
      <c r="A14" t="s">
        <v>112</v>
      </c>
      <c r="F14" t="str">
        <f t="shared" si="0"/>
        <v>"00 00 00 00 01 00 02 00 00 00 00 00 00 00 00 00"</v>
      </c>
    </row>
    <row r="15" spans="1:15" x14ac:dyDescent="0.3">
      <c r="A15" t="s">
        <v>113</v>
      </c>
      <c r="F15" t="str">
        <f t="shared" si="0"/>
        <v>"00 00 00 00 00 00 7f 01 17 08 00 00 00 00 01 00"</v>
      </c>
    </row>
    <row r="16" spans="1:15" x14ac:dyDescent="0.3">
      <c r="A16" t="s">
        <v>114</v>
      </c>
      <c r="F16" t="str">
        <f t="shared" si="0"/>
        <v>"02 00 00 00 00 00 00 00 00 00 00 00 00 00 00 00"</v>
      </c>
    </row>
    <row r="17" spans="1:6" x14ac:dyDescent="0.3">
      <c r="A17" t="s">
        <v>115</v>
      </c>
      <c r="F17" t="str">
        <f t="shared" si="0"/>
        <v>"7f 01 17 09 00 00 00 00 01 00 02 00 00 00 00 00"</v>
      </c>
    </row>
    <row r="18" spans="1:6" x14ac:dyDescent="0.3">
      <c r="A18" t="s">
        <v>116</v>
      </c>
      <c r="F18" t="str">
        <f t="shared" si="0"/>
        <v>"00 00 00 00 00 00 00 00 00 00 7f 01 17 0a 00 00"</v>
      </c>
    </row>
    <row r="19" spans="1:6" x14ac:dyDescent="0.3">
      <c r="A19" t="s">
        <v>117</v>
      </c>
      <c r="F19" t="str">
        <f t="shared" si="0"/>
        <v>"00 00 01 00 02 00 00 00 00 00 00 00 00 00 00 00"</v>
      </c>
    </row>
    <row r="20" spans="1:6" x14ac:dyDescent="0.3">
      <c r="A20" t="s">
        <v>118</v>
      </c>
      <c r="F20" t="str">
        <f t="shared" si="0"/>
        <v>"00 00 00 00 7f 01 17 0b 00 00 00 00 01 00 02 00"</v>
      </c>
    </row>
    <row r="21" spans="1:6" x14ac:dyDescent="0.3">
      <c r="A21" t="s">
        <v>119</v>
      </c>
      <c r="F21" t="str">
        <f t="shared" si="0"/>
        <v>"00 00 00 00 00 00 00 00 00 00 00 00 00 00 7f 01"</v>
      </c>
    </row>
    <row r="22" spans="1:6" x14ac:dyDescent="0.3">
      <c r="A22" t="s">
        <v>120</v>
      </c>
      <c r="F22" t="str">
        <f t="shared" si="0"/>
        <v>"17 0c 00 00 00 00 01 00 02 00 00 00 00 00 00 00"</v>
      </c>
    </row>
    <row r="23" spans="1:6" x14ac:dyDescent="0.3">
      <c r="A23" t="s">
        <v>121</v>
      </c>
      <c r="F23" t="str">
        <f t="shared" si="0"/>
        <v>"00 00 00 00 00 00 00 00 7f 01 17 0d 00 00 00 00"</v>
      </c>
    </row>
    <row r="24" spans="1:6" x14ac:dyDescent="0.3">
      <c r="A24" t="s">
        <v>122</v>
      </c>
      <c r="F24" t="str">
        <f t="shared" si="0"/>
        <v>"01 00 02 00 00 00 00 00 00 00 00 00 00 00 00 00"</v>
      </c>
    </row>
    <row r="25" spans="1:6" x14ac:dyDescent="0.3">
      <c r="A25" t="s">
        <v>123</v>
      </c>
      <c r="F25" t="str">
        <f t="shared" si="0"/>
        <v>"00 00 7f 01 17 0e 00 00 00 00 01 00 02 00 00 00"</v>
      </c>
    </row>
    <row r="26" spans="1:6" x14ac:dyDescent="0.3">
      <c r="A26" t="s">
        <v>124</v>
      </c>
      <c r="F26" t="str">
        <f t="shared" si="0"/>
        <v>"00 00 00 00 00 00 00 00 00 00 00 00 7f 01 17 0f"</v>
      </c>
    </row>
    <row r="27" spans="1:6" x14ac:dyDescent="0.3">
      <c r="A27" t="s">
        <v>125</v>
      </c>
      <c r="F27" t="str">
        <f t="shared" si="0"/>
        <v>"00 00 00 00 01 00 02 00 00 00 00 00 00 00 00 00"</v>
      </c>
    </row>
    <row r="28" spans="1:6" x14ac:dyDescent="0.3">
      <c r="A28" t="s">
        <v>126</v>
      </c>
      <c r="F28" t="str">
        <f t="shared" si="0"/>
        <v>"00 00 00 00 00 00 7f 01 17 10 00 00 00 00 01 00"</v>
      </c>
    </row>
    <row r="29" spans="1:6" x14ac:dyDescent="0.3">
      <c r="A29" t="s">
        <v>127</v>
      </c>
      <c r="F29" t="str">
        <f t="shared" si="0"/>
        <v>"02 00 00 00 00 00 00 00 00 00 00 00 00 00 00 00"</v>
      </c>
    </row>
    <row r="30" spans="1:6" x14ac:dyDescent="0.3">
      <c r="A30" t="s">
        <v>128</v>
      </c>
      <c r="F30" t="str">
        <f t="shared" si="0"/>
        <v>"7f 01 17 11 00 00 00 00 01 00 02 00 00 00 00 00"</v>
      </c>
    </row>
    <row r="31" spans="1:6" x14ac:dyDescent="0.3">
      <c r="A31" t="s">
        <v>129</v>
      </c>
      <c r="F31" t="str">
        <f t="shared" si="0"/>
        <v>"00 00 00 00 00 00 00 00 00 00 7f 01 17 12 00 00"</v>
      </c>
    </row>
    <row r="32" spans="1:6" x14ac:dyDescent="0.3">
      <c r="A32" t="s">
        <v>130</v>
      </c>
      <c r="F32" t="str">
        <f t="shared" si="0"/>
        <v>"00 00 01 00 02 00 00 00 00 00 00 00 00 00 00 00"</v>
      </c>
    </row>
    <row r="33" spans="1:6" x14ac:dyDescent="0.3">
      <c r="A33" t="s">
        <v>131</v>
      </c>
      <c r="F33" t="str">
        <f t="shared" si="0"/>
        <v>"00 00 00 00 7f 01 17 13 00 00 00 00 01 00 02 00"</v>
      </c>
    </row>
    <row r="34" spans="1:6" x14ac:dyDescent="0.3">
      <c r="A34" t="s">
        <v>132</v>
      </c>
      <c r="F34" t="str">
        <f t="shared" si="0"/>
        <v>"00 00 00 00 00 00 00 00 00 00 00 00 00 00 7f 01"</v>
      </c>
    </row>
    <row r="35" spans="1:6" x14ac:dyDescent="0.3">
      <c r="A35" t="s">
        <v>133</v>
      </c>
      <c r="F35" t="str">
        <f t="shared" si="0"/>
        <v>"17 14 00 00 00 00 01 00 02 00 00 00 00 00 00 00"</v>
      </c>
    </row>
    <row r="36" spans="1:6" x14ac:dyDescent="0.3">
      <c r="A36" t="s">
        <v>134</v>
      </c>
      <c r="F36" t="str">
        <f t="shared" si="0"/>
        <v>"00 00 00 00 00 00 00 00 7f 01 17 15 00 00 00 00"</v>
      </c>
    </row>
    <row r="37" spans="1:6" x14ac:dyDescent="0.3">
      <c r="A37" t="s">
        <v>135</v>
      </c>
      <c r="F37" t="str">
        <f t="shared" si="0"/>
        <v>"01 00 02 00 00 00 00 00 00 00 00 00 00 00 00 00"</v>
      </c>
    </row>
    <row r="38" spans="1:6" x14ac:dyDescent="0.3">
      <c r="A38" t="s">
        <v>136</v>
      </c>
      <c r="F38" t="str">
        <f t="shared" si="0"/>
        <v>"00 00 7f 01 17 16 00 00 00 00 01 00 02 00 00 00"</v>
      </c>
    </row>
    <row r="39" spans="1:6" x14ac:dyDescent="0.3">
      <c r="A39" t="s">
        <v>137</v>
      </c>
      <c r="F39" t="str">
        <f t="shared" si="0"/>
        <v>"00 00 00 00 00 00 00 00 00 00 00 00 7f 01 17 17"</v>
      </c>
    </row>
    <row r="40" spans="1:6" x14ac:dyDescent="0.3">
      <c r="A40" t="s">
        <v>138</v>
      </c>
      <c r="F40" t="str">
        <f t="shared" si="0"/>
        <v>"00 00 00 00 01 00 02 00 00 00 00 00 00 00 00 00"</v>
      </c>
    </row>
    <row r="41" spans="1:6" x14ac:dyDescent="0.3">
      <c r="A41" t="s">
        <v>139</v>
      </c>
      <c r="F41" t="str">
        <f t="shared" si="0"/>
        <v>"00 00 00 00 00 00 7f 01 17 18 00 00 00 00 01 00"</v>
      </c>
    </row>
    <row r="42" spans="1:6" x14ac:dyDescent="0.3">
      <c r="A42" t="s">
        <v>140</v>
      </c>
      <c r="F42" t="str">
        <f t="shared" si="0"/>
        <v>"02 00 00 00 00 00 00 00 00 00 00 00 00 00 00 00"</v>
      </c>
    </row>
    <row r="43" spans="1:6" x14ac:dyDescent="0.3">
      <c r="A43" t="s">
        <v>141</v>
      </c>
      <c r="F43" t="str">
        <f t="shared" si="0"/>
        <v>"7f 01 17 19 00 00 00 00 01 00 02 00 00 00 00 00"</v>
      </c>
    </row>
    <row r="44" spans="1:6" x14ac:dyDescent="0.3">
      <c r="A44" t="s">
        <v>142</v>
      </c>
      <c r="F44" t="str">
        <f t="shared" si="0"/>
        <v>"00 00 00 00 00 00 00 00 00 00 7f 01 17 1a 00 00"</v>
      </c>
    </row>
    <row r="45" spans="1:6" x14ac:dyDescent="0.3">
      <c r="A45" t="s">
        <v>143</v>
      </c>
      <c r="F45" t="str">
        <f t="shared" si="0"/>
        <v>"00 00 01 00 02 00 00 00 00 00 00 00 00 00 00 00"</v>
      </c>
    </row>
    <row r="46" spans="1:6" x14ac:dyDescent="0.3">
      <c r="A46" t="s">
        <v>144</v>
      </c>
      <c r="F46" t="str">
        <f t="shared" si="0"/>
        <v>"00 00 00 00 7f 01 17 1b 00 00 00 00 01 00 02 00"</v>
      </c>
    </row>
    <row r="47" spans="1:6" x14ac:dyDescent="0.3">
      <c r="A47" t="s">
        <v>145</v>
      </c>
      <c r="F47" t="str">
        <f t="shared" si="0"/>
        <v>"00 00 00 00 00 00 00 00 00 00 00 00 00 00 7f 01"</v>
      </c>
    </row>
    <row r="48" spans="1:6" x14ac:dyDescent="0.3">
      <c r="A48" t="s">
        <v>146</v>
      </c>
      <c r="F48" t="str">
        <f t="shared" si="0"/>
        <v>"17 1c 00 00 00 00 01 00 02 00 00 00 00 00 00 00"</v>
      </c>
    </row>
    <row r="49" spans="1:6" x14ac:dyDescent="0.3">
      <c r="A49" t="s">
        <v>147</v>
      </c>
      <c r="F49" t="str">
        <f t="shared" si="0"/>
        <v>"00 00 00 00 00 00 00 00 7f 01 17 1d 00 00 00 00"</v>
      </c>
    </row>
    <row r="50" spans="1:6" x14ac:dyDescent="0.3">
      <c r="A50" t="s">
        <v>148</v>
      </c>
      <c r="F50" t="str">
        <f t="shared" si="0"/>
        <v>"01 00 02 00 00 00 00 00 00 00 00 00 00 00 00 00"</v>
      </c>
    </row>
    <row r="51" spans="1:6" x14ac:dyDescent="0.3">
      <c r="A51" t="s">
        <v>149</v>
      </c>
      <c r="F51" t="str">
        <f t="shared" si="0"/>
        <v>"00 00 7f 01 17 1e 00 00 00 00 01 00 02 00 00 00"</v>
      </c>
    </row>
    <row r="52" spans="1:6" x14ac:dyDescent="0.3">
      <c r="A52" t="s">
        <v>150</v>
      </c>
      <c r="F52" t="str">
        <f t="shared" si="0"/>
        <v>"00 00 00 00 00 00 00 00 00 00 00 00 7f 01 17 1f"</v>
      </c>
    </row>
    <row r="53" spans="1:6" x14ac:dyDescent="0.3">
      <c r="A53" t="s">
        <v>151</v>
      </c>
      <c r="F53" t="str">
        <f t="shared" si="0"/>
        <v>"00 00 00 00 01 00 02 00 00 00 00 00 00 00 00 00"</v>
      </c>
    </row>
    <row r="54" spans="1:6" x14ac:dyDescent="0.3">
      <c r="A54" t="s">
        <v>152</v>
      </c>
      <c r="F54" t="str">
        <f t="shared" si="0"/>
        <v>"00 00 00 00 00 00 7f 02 20 45 4d 50 54 59 20 20"</v>
      </c>
    </row>
    <row r="55" spans="1:6" x14ac:dyDescent="0.3">
      <c r="A55" t="s">
        <v>153</v>
      </c>
      <c r="F55" t="str">
        <f t="shared" si="0"/>
        <v>"20 20 20 20 20 20 20 20 20 20 20 20 20 20 20 20"</v>
      </c>
    </row>
    <row r="56" spans="1:6" x14ac:dyDescent="0.3">
      <c r="A56" t="s">
        <v>154</v>
      </c>
      <c r="F56" t="str">
        <f t="shared" si="0"/>
        <v>"20 20 20 20 20 20 20 20 20 7f 03 20 20 20 20 20"</v>
      </c>
    </row>
    <row r="57" spans="1:6" x14ac:dyDescent="0.3">
      <c r="A57" t="s">
        <v>155</v>
      </c>
      <c r="F57" t="str">
        <f t="shared" si="0"/>
        <v>"20 20 20 20 20 20 20 20 20 20 20 20 20 20 20 20"</v>
      </c>
    </row>
    <row r="58" spans="1:6" x14ac:dyDescent="0.3">
      <c r="A58" t="s">
        <v>156</v>
      </c>
      <c r="F58" t="str">
        <f t="shared" si="0"/>
        <v>"20 20 20 20 20 20 20 20 20 20 20 20 7f 04 20 23"</v>
      </c>
    </row>
    <row r="59" spans="1:6" x14ac:dyDescent="0.3">
      <c r="A59" t="s">
        <v>157</v>
      </c>
      <c r="F59" t="str">
        <f t="shared" si="0"/>
        <v>"23 20 20 20 20 20 20 20 20 20 20 20 20 20 20 20"</v>
      </c>
    </row>
    <row r="60" spans="1:6" x14ac:dyDescent="0.3">
      <c r="A60" t="s">
        <v>158</v>
      </c>
      <c r="F60" t="str">
        <f t="shared" si="0"/>
        <v>"20 20 20 20 20 20 20 20 20 20 20 20 20 20 20 7f"</v>
      </c>
    </row>
    <row r="61" spans="1:6" x14ac:dyDescent="0.3">
      <c r="A61" t="s">
        <v>159</v>
      </c>
      <c r="F61" t="str">
        <f t="shared" si="0"/>
        <v>"05 20 00 00 00 00 00 00 00 00 07 07 07 00 00 00"</v>
      </c>
    </row>
    <row r="62" spans="1:6" x14ac:dyDescent="0.3">
      <c r="A62" t="s">
        <v>160</v>
      </c>
      <c r="F62" t="str">
        <f t="shared" si="0"/>
        <v>"00 00 00 00 00 00 00 00 00 00 00 00 00 00 00 00"</v>
      </c>
    </row>
    <row r="63" spans="1:6" x14ac:dyDescent="0.3">
      <c r="A63" t="s">
        <v>161</v>
      </c>
      <c r="F63" t="str">
        <f t="shared" si="0"/>
        <v>"00 7f 06 20 20 20 20 20 20 20 20 20 20 20 20 20"</v>
      </c>
    </row>
    <row r="64" spans="1:6" x14ac:dyDescent="0.3">
      <c r="A64" t="s">
        <v>162</v>
      </c>
      <c r="F64" t="str">
        <f t="shared" si="0"/>
        <v>"20 20 20 20 20 20 20 20 20 20 20 20 20 20 20 20"</v>
      </c>
    </row>
    <row r="65" spans="1:6" x14ac:dyDescent="0.3">
      <c r="A65" t="s">
        <v>163</v>
      </c>
      <c r="F65" t="str">
        <f t="shared" si="0"/>
        <v>"20 20 20 20 23 f7"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8226-2E56-4610-BAA3-CA39D0E6C3EB}">
  <dimension ref="A1:AG65"/>
  <sheetViews>
    <sheetView workbookViewId="0">
      <selection activeCell="U33" sqref="U33"/>
    </sheetView>
  </sheetViews>
  <sheetFormatPr defaultRowHeight="14.4" x14ac:dyDescent="0.3"/>
  <cols>
    <col min="1" max="1" width="8.88671875" style="4"/>
    <col min="2" max="17" width="3.77734375" style="9" customWidth="1"/>
  </cols>
  <sheetData>
    <row r="1" spans="1:33" ht="15" thickBot="1" x14ac:dyDescent="0.35">
      <c r="A1" s="4">
        <v>0</v>
      </c>
      <c r="B1" s="14" t="s">
        <v>226</v>
      </c>
      <c r="C1" s="14">
        <v>0</v>
      </c>
      <c r="D1" s="14">
        <v>21</v>
      </c>
      <c r="E1" s="14">
        <v>24</v>
      </c>
      <c r="F1" s="14">
        <v>9</v>
      </c>
      <c r="G1" s="14">
        <v>0</v>
      </c>
      <c r="H1" s="15">
        <v>6</v>
      </c>
      <c r="I1" s="9">
        <v>11</v>
      </c>
      <c r="J1" s="9">
        <v>0</v>
      </c>
      <c r="K1" s="15" t="s">
        <v>227</v>
      </c>
      <c r="L1" s="9">
        <v>0</v>
      </c>
      <c r="M1" s="9">
        <v>0</v>
      </c>
      <c r="N1" s="9">
        <v>0</v>
      </c>
      <c r="O1" s="9">
        <v>0</v>
      </c>
      <c r="P1" s="9">
        <v>0</v>
      </c>
      <c r="Q1" s="9">
        <v>0</v>
      </c>
      <c r="S1" t="s">
        <v>264</v>
      </c>
      <c r="U1" t="s">
        <v>265</v>
      </c>
    </row>
    <row r="2" spans="1:33" ht="15" thickBot="1" x14ac:dyDescent="0.35">
      <c r="A2" s="4">
        <v>10</v>
      </c>
      <c r="B2" s="9" t="s">
        <v>228</v>
      </c>
      <c r="C2" s="9">
        <v>0</v>
      </c>
      <c r="D2" s="9">
        <v>3</v>
      </c>
      <c r="E2" s="9">
        <v>1</v>
      </c>
      <c r="F2" s="9" t="s">
        <v>227</v>
      </c>
      <c r="G2" s="9">
        <v>0</v>
      </c>
      <c r="H2" s="16" t="s">
        <v>228</v>
      </c>
      <c r="I2" s="17">
        <v>1</v>
      </c>
      <c r="J2" s="17">
        <v>17</v>
      </c>
      <c r="K2" s="22">
        <v>0</v>
      </c>
      <c r="L2" s="12">
        <v>24</v>
      </c>
      <c r="M2" s="12">
        <v>7</v>
      </c>
      <c r="N2" s="11" t="s">
        <v>229</v>
      </c>
      <c r="O2" s="11" t="s">
        <v>230</v>
      </c>
      <c r="P2" s="9">
        <v>1</v>
      </c>
      <c r="Q2" s="20">
        <v>1</v>
      </c>
      <c r="S2" t="s">
        <v>266</v>
      </c>
    </row>
    <row r="3" spans="1:33" ht="15" thickBot="1" x14ac:dyDescent="0.35">
      <c r="A3" s="4">
        <v>20</v>
      </c>
      <c r="B3" s="9">
        <v>2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</row>
    <row r="4" spans="1:33" ht="15" thickBot="1" x14ac:dyDescent="0.35">
      <c r="A4" s="4">
        <v>30</v>
      </c>
      <c r="B4" s="16" t="s">
        <v>228</v>
      </c>
      <c r="C4" s="17">
        <v>1</v>
      </c>
      <c r="D4" s="17">
        <v>17</v>
      </c>
      <c r="E4" s="22">
        <v>1</v>
      </c>
      <c r="F4" s="12">
        <v>24</v>
      </c>
      <c r="G4" s="12">
        <v>7</v>
      </c>
      <c r="H4" s="11">
        <v>36</v>
      </c>
      <c r="I4" s="11">
        <v>7</v>
      </c>
      <c r="J4" s="9">
        <v>1</v>
      </c>
      <c r="K4" s="20">
        <v>2</v>
      </c>
      <c r="L4" s="21">
        <v>2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S4" t="s">
        <v>267</v>
      </c>
    </row>
    <row r="5" spans="1:33" ht="15" thickBot="1" x14ac:dyDescent="0.35">
      <c r="A5" s="4">
        <v>40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16" t="s">
        <v>228</v>
      </c>
      <c r="M5" s="16">
        <v>1</v>
      </c>
      <c r="N5" s="16">
        <v>17</v>
      </c>
      <c r="O5" s="23">
        <v>2</v>
      </c>
      <c r="P5" s="13">
        <v>24</v>
      </c>
      <c r="Q5" s="13">
        <v>7</v>
      </c>
      <c r="S5" t="s">
        <v>268</v>
      </c>
    </row>
    <row r="6" spans="1:33" ht="15" thickBot="1" x14ac:dyDescent="0.35">
      <c r="A6" s="4">
        <v>50</v>
      </c>
      <c r="B6" s="11">
        <v>0</v>
      </c>
      <c r="C6" s="11">
        <v>7</v>
      </c>
      <c r="D6" s="9">
        <v>1</v>
      </c>
      <c r="E6" s="20">
        <v>3</v>
      </c>
      <c r="F6" s="21">
        <v>2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</row>
    <row r="7" spans="1:33" ht="15" thickBot="1" x14ac:dyDescent="0.35">
      <c r="A7" s="4">
        <v>60</v>
      </c>
      <c r="B7" s="21">
        <v>0</v>
      </c>
      <c r="C7" s="21">
        <v>0</v>
      </c>
      <c r="D7" s="21">
        <v>0</v>
      </c>
      <c r="E7" s="21">
        <v>0</v>
      </c>
      <c r="F7" s="16" t="s">
        <v>228</v>
      </c>
      <c r="G7" s="16">
        <v>1</v>
      </c>
      <c r="H7" s="16">
        <v>17</v>
      </c>
      <c r="I7" s="24">
        <v>3</v>
      </c>
      <c r="J7" s="19" t="s">
        <v>227</v>
      </c>
      <c r="K7" s="18">
        <v>3</v>
      </c>
      <c r="L7" s="9">
        <v>0</v>
      </c>
      <c r="M7" s="9">
        <v>0</v>
      </c>
      <c r="N7" s="9">
        <v>1</v>
      </c>
      <c r="O7" s="20">
        <v>7</v>
      </c>
      <c r="P7" s="21">
        <v>2</v>
      </c>
      <c r="Q7" s="21">
        <v>0</v>
      </c>
      <c r="S7" t="s">
        <v>269</v>
      </c>
    </row>
    <row r="8" spans="1:33" ht="15" thickBot="1" x14ac:dyDescent="0.35">
      <c r="A8" s="4">
        <v>70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16" t="s">
        <v>228</v>
      </c>
      <c r="Q8" s="16">
        <v>1</v>
      </c>
    </row>
    <row r="9" spans="1:33" ht="15" thickBot="1" x14ac:dyDescent="0.35">
      <c r="A9" s="4">
        <v>80</v>
      </c>
      <c r="B9" s="16">
        <v>17</v>
      </c>
      <c r="C9" s="24">
        <v>4</v>
      </c>
      <c r="D9" s="19" t="s">
        <v>227</v>
      </c>
      <c r="E9" s="18">
        <v>4</v>
      </c>
      <c r="F9" s="9">
        <v>0</v>
      </c>
      <c r="G9" s="9">
        <v>0</v>
      </c>
      <c r="H9" s="9">
        <v>1</v>
      </c>
      <c r="I9" s="20">
        <v>8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S9" t="s">
        <v>270</v>
      </c>
    </row>
    <row r="10" spans="1:33" ht="15" thickBot="1" x14ac:dyDescent="0.35">
      <c r="A10" s="4">
        <v>90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6" t="s">
        <v>228</v>
      </c>
      <c r="K10" s="16">
        <v>1</v>
      </c>
      <c r="L10" s="16">
        <v>17</v>
      </c>
      <c r="M10" s="24">
        <v>5</v>
      </c>
      <c r="N10" s="9">
        <v>0</v>
      </c>
      <c r="O10" s="9">
        <v>0</v>
      </c>
      <c r="P10" s="9">
        <v>0</v>
      </c>
      <c r="Q10" s="9">
        <v>0</v>
      </c>
    </row>
    <row r="11" spans="1:33" ht="15" thickBot="1" x14ac:dyDescent="0.35">
      <c r="A11" s="4" t="s">
        <v>231</v>
      </c>
      <c r="B11" s="9">
        <v>1</v>
      </c>
      <c r="C11" s="9">
        <v>0</v>
      </c>
      <c r="D11" s="9">
        <v>2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</row>
    <row r="12" spans="1:33" ht="15" thickBot="1" x14ac:dyDescent="0.35">
      <c r="A12" s="4" t="s">
        <v>232</v>
      </c>
      <c r="B12" s="9">
        <v>0</v>
      </c>
      <c r="C12" s="9">
        <v>0</v>
      </c>
      <c r="D12" s="16" t="s">
        <v>228</v>
      </c>
      <c r="E12" s="16">
        <v>1</v>
      </c>
      <c r="F12" s="16">
        <v>17</v>
      </c>
      <c r="G12" s="24">
        <v>6</v>
      </c>
      <c r="H12" s="9">
        <v>0</v>
      </c>
      <c r="I12" s="9">
        <v>0</v>
      </c>
      <c r="J12" s="9">
        <v>0</v>
      </c>
      <c r="K12" s="9">
        <v>0</v>
      </c>
      <c r="L12" s="9">
        <v>1</v>
      </c>
      <c r="M12" s="9">
        <v>0</v>
      </c>
      <c r="N12" s="9">
        <v>2</v>
      </c>
      <c r="O12" s="9">
        <v>0</v>
      </c>
      <c r="P12" s="9">
        <v>0</v>
      </c>
      <c r="Q12" s="9">
        <v>0</v>
      </c>
    </row>
    <row r="13" spans="1:33" ht="15" thickBot="1" x14ac:dyDescent="0.35">
      <c r="A13" s="4" t="s">
        <v>233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16" t="s">
        <v>228</v>
      </c>
      <c r="O13" s="16">
        <v>1</v>
      </c>
      <c r="P13" s="16">
        <v>17</v>
      </c>
      <c r="Q13" s="24">
        <v>7</v>
      </c>
    </row>
    <row r="14" spans="1:33" ht="15" thickBot="1" x14ac:dyDescent="0.35">
      <c r="A14" s="4" t="s">
        <v>234</v>
      </c>
      <c r="B14" s="9">
        <v>0</v>
      </c>
      <c r="C14" s="9">
        <v>0</v>
      </c>
      <c r="D14" s="9">
        <v>0</v>
      </c>
      <c r="E14" s="9">
        <v>0</v>
      </c>
      <c r="F14" s="9">
        <v>1</v>
      </c>
      <c r="G14" s="9">
        <v>0</v>
      </c>
      <c r="H14" s="9">
        <v>2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Y14" t="s">
        <v>274</v>
      </c>
    </row>
    <row r="15" spans="1:33" ht="15" thickBot="1" x14ac:dyDescent="0.35">
      <c r="A15" s="10">
        <v>0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16" t="s">
        <v>228</v>
      </c>
      <c r="I15" s="16">
        <v>1</v>
      </c>
      <c r="J15" s="16">
        <v>17</v>
      </c>
      <c r="K15" s="24">
        <v>8</v>
      </c>
      <c r="L15" s="9">
        <v>0</v>
      </c>
      <c r="M15" s="9">
        <v>0</v>
      </c>
      <c r="N15" s="9">
        <v>0</v>
      </c>
      <c r="O15" s="9">
        <v>0</v>
      </c>
      <c r="P15" s="9">
        <v>1</v>
      </c>
      <c r="Q15" s="9">
        <v>0</v>
      </c>
      <c r="S15" s="14" t="s">
        <v>226</v>
      </c>
      <c r="T15" s="14">
        <v>0</v>
      </c>
      <c r="U15" s="14">
        <v>21</v>
      </c>
      <c r="V15" s="14">
        <v>24</v>
      </c>
      <c r="W15" s="14">
        <v>9</v>
      </c>
      <c r="X15" s="14">
        <v>0</v>
      </c>
      <c r="Y15" s="15">
        <v>70</v>
      </c>
      <c r="Z15" s="15">
        <v>4</v>
      </c>
      <c r="AA15" s="9" t="s">
        <v>227</v>
      </c>
      <c r="AB15" s="9">
        <v>0</v>
      </c>
      <c r="AC15" s="9">
        <v>1</v>
      </c>
      <c r="AD15" s="9">
        <v>0</v>
      </c>
      <c r="AE15" s="9">
        <v>0</v>
      </c>
      <c r="AF15" s="9">
        <v>0</v>
      </c>
      <c r="AG15" s="9">
        <v>0</v>
      </c>
    </row>
    <row r="16" spans="1:33" x14ac:dyDescent="0.3">
      <c r="A16" s="4" t="s">
        <v>235</v>
      </c>
      <c r="B16" s="9">
        <v>2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AA16" s="9" t="s">
        <v>275</v>
      </c>
      <c r="AB16" t="s">
        <v>276</v>
      </c>
      <c r="AC16" s="9" t="s">
        <v>277</v>
      </c>
    </row>
    <row r="17" spans="1:19" x14ac:dyDescent="0.3">
      <c r="A17" s="4">
        <v>100</v>
      </c>
      <c r="B17" s="9" t="s">
        <v>228</v>
      </c>
      <c r="C17" s="9">
        <v>1</v>
      </c>
      <c r="D17" s="9">
        <v>17</v>
      </c>
      <c r="E17" s="9">
        <v>9</v>
      </c>
      <c r="F17" s="9">
        <v>0</v>
      </c>
      <c r="G17" s="9">
        <v>0</v>
      </c>
      <c r="H17" s="9">
        <v>0</v>
      </c>
      <c r="I17" s="9">
        <v>0</v>
      </c>
      <c r="J17" s="9">
        <v>1</v>
      </c>
      <c r="K17" s="9">
        <v>0</v>
      </c>
      <c r="L17" s="9">
        <v>2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S17" t="s">
        <v>280</v>
      </c>
    </row>
    <row r="18" spans="1:19" x14ac:dyDescent="0.3">
      <c r="A18" s="4">
        <v>110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 t="s">
        <v>228</v>
      </c>
      <c r="M18" s="9">
        <v>1</v>
      </c>
      <c r="N18" s="9">
        <v>17</v>
      </c>
      <c r="O18" s="9" t="s">
        <v>236</v>
      </c>
      <c r="P18" s="9">
        <v>0</v>
      </c>
      <c r="Q18" s="9">
        <v>0</v>
      </c>
      <c r="S18" t="s">
        <v>281</v>
      </c>
    </row>
    <row r="19" spans="1:19" x14ac:dyDescent="0.3">
      <c r="A19" s="4">
        <v>120</v>
      </c>
      <c r="B19" s="9">
        <v>0</v>
      </c>
      <c r="C19" s="9">
        <v>0</v>
      </c>
      <c r="D19" s="9">
        <v>1</v>
      </c>
      <c r="E19" s="9">
        <v>0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S19" t="s">
        <v>278</v>
      </c>
    </row>
    <row r="20" spans="1:19" x14ac:dyDescent="0.3">
      <c r="A20" s="4">
        <v>130</v>
      </c>
      <c r="B20" s="9">
        <v>0</v>
      </c>
      <c r="C20" s="9">
        <v>0</v>
      </c>
      <c r="D20" s="9">
        <v>0</v>
      </c>
      <c r="E20" s="9">
        <v>0</v>
      </c>
      <c r="F20" s="9" t="s">
        <v>228</v>
      </c>
      <c r="G20" s="9">
        <v>1</v>
      </c>
      <c r="H20" s="9">
        <v>17</v>
      </c>
      <c r="I20" s="9" t="s">
        <v>237</v>
      </c>
      <c r="J20" s="9">
        <v>0</v>
      </c>
      <c r="K20" s="9">
        <v>0</v>
      </c>
      <c r="L20" s="9">
        <v>0</v>
      </c>
      <c r="M20" s="9">
        <v>0</v>
      </c>
      <c r="N20" s="9">
        <v>1</v>
      </c>
      <c r="O20" s="9">
        <v>0</v>
      </c>
      <c r="P20" s="9">
        <v>2</v>
      </c>
      <c r="Q20" s="9">
        <v>0</v>
      </c>
      <c r="S20" t="s">
        <v>279</v>
      </c>
    </row>
    <row r="21" spans="1:19" x14ac:dyDescent="0.3">
      <c r="A21" s="4">
        <v>140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 t="s">
        <v>228</v>
      </c>
      <c r="Q21" s="9">
        <v>1</v>
      </c>
    </row>
    <row r="22" spans="1:19" x14ac:dyDescent="0.3">
      <c r="A22" s="4">
        <v>150</v>
      </c>
      <c r="B22" s="9">
        <v>17</v>
      </c>
      <c r="C22" s="9" t="s">
        <v>238</v>
      </c>
      <c r="D22" s="9">
        <v>0</v>
      </c>
      <c r="E22" s="9">
        <v>0</v>
      </c>
      <c r="F22" s="9">
        <v>0</v>
      </c>
      <c r="G22" s="9">
        <v>0</v>
      </c>
      <c r="H22" s="9">
        <v>1</v>
      </c>
      <c r="I22" s="9">
        <v>0</v>
      </c>
      <c r="J22" s="9">
        <v>2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S22" t="s">
        <v>282</v>
      </c>
    </row>
    <row r="23" spans="1:19" x14ac:dyDescent="0.3">
      <c r="A23" s="4">
        <v>160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 t="s">
        <v>228</v>
      </c>
      <c r="K23" s="9">
        <v>1</v>
      </c>
      <c r="L23" s="9">
        <v>17</v>
      </c>
      <c r="M23" s="9" t="s">
        <v>239</v>
      </c>
      <c r="N23" s="9">
        <v>0</v>
      </c>
      <c r="O23" s="9">
        <v>0</v>
      </c>
      <c r="P23" s="9">
        <v>0</v>
      </c>
      <c r="Q23" s="9">
        <v>0</v>
      </c>
      <c r="S23" t="s">
        <v>283</v>
      </c>
    </row>
    <row r="24" spans="1:19" x14ac:dyDescent="0.3">
      <c r="A24" s="4">
        <v>170</v>
      </c>
      <c r="B24" s="9">
        <v>1</v>
      </c>
      <c r="C24" s="9">
        <v>0</v>
      </c>
      <c r="D24" s="9">
        <v>2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S24" t="s">
        <v>284</v>
      </c>
    </row>
    <row r="25" spans="1:19" x14ac:dyDescent="0.3">
      <c r="A25" s="4">
        <v>180</v>
      </c>
      <c r="B25" s="9">
        <v>0</v>
      </c>
      <c r="C25" s="9">
        <v>0</v>
      </c>
      <c r="D25" s="9" t="s">
        <v>228</v>
      </c>
      <c r="E25" s="9">
        <v>1</v>
      </c>
      <c r="F25" s="9">
        <v>17</v>
      </c>
      <c r="G25" s="9" t="s">
        <v>227</v>
      </c>
      <c r="H25" s="9">
        <v>0</v>
      </c>
      <c r="I25" s="9">
        <v>0</v>
      </c>
      <c r="J25" s="9">
        <v>0</v>
      </c>
      <c r="K25" s="9">
        <v>0</v>
      </c>
      <c r="L25" s="9">
        <v>1</v>
      </c>
      <c r="M25" s="9">
        <v>0</v>
      </c>
      <c r="N25" s="9">
        <v>2</v>
      </c>
      <c r="O25" s="9">
        <v>0</v>
      </c>
      <c r="P25" s="9">
        <v>0</v>
      </c>
      <c r="Q25" s="9">
        <v>0</v>
      </c>
      <c r="S25" t="s">
        <v>285</v>
      </c>
    </row>
    <row r="26" spans="1:19" x14ac:dyDescent="0.3">
      <c r="A26" s="4">
        <v>190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 t="s">
        <v>228</v>
      </c>
      <c r="O26" s="9">
        <v>1</v>
      </c>
      <c r="P26" s="9">
        <v>17</v>
      </c>
      <c r="Q26" s="9" t="s">
        <v>240</v>
      </c>
      <c r="S26" t="s">
        <v>286</v>
      </c>
    </row>
    <row r="27" spans="1:19" x14ac:dyDescent="0.3">
      <c r="A27" s="4" t="s">
        <v>241</v>
      </c>
      <c r="B27" s="9">
        <v>0</v>
      </c>
      <c r="C27" s="9">
        <v>0</v>
      </c>
      <c r="D27" s="9">
        <v>0</v>
      </c>
      <c r="E27" s="9">
        <v>0</v>
      </c>
      <c r="F27" s="9">
        <v>1</v>
      </c>
      <c r="G27" s="9">
        <v>0</v>
      </c>
      <c r="H27" s="9">
        <v>2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S27" t="s">
        <v>287</v>
      </c>
    </row>
    <row r="28" spans="1:19" x14ac:dyDescent="0.3">
      <c r="A28" s="4" t="s">
        <v>242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 t="s">
        <v>228</v>
      </c>
      <c r="I28" s="9">
        <v>1</v>
      </c>
      <c r="J28" s="9">
        <v>17</v>
      </c>
      <c r="K28" s="9">
        <v>10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S28" t="s">
        <v>263</v>
      </c>
    </row>
    <row r="29" spans="1:19" x14ac:dyDescent="0.3">
      <c r="A29" s="4" t="s">
        <v>243</v>
      </c>
      <c r="B29" s="9">
        <v>2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</row>
    <row r="30" spans="1:19" x14ac:dyDescent="0.3">
      <c r="A30" s="4" t="s">
        <v>244</v>
      </c>
      <c r="B30" s="9" t="s">
        <v>228</v>
      </c>
      <c r="C30" s="9">
        <v>1</v>
      </c>
      <c r="D30" s="9">
        <v>17</v>
      </c>
      <c r="E30" s="9">
        <v>11</v>
      </c>
      <c r="F30" s="9">
        <v>0</v>
      </c>
      <c r="G30" s="9">
        <v>0</v>
      </c>
      <c r="H30" s="9">
        <v>0</v>
      </c>
      <c r="I30" s="9">
        <v>0</v>
      </c>
      <c r="J30" s="9">
        <v>1</v>
      </c>
      <c r="K30" s="9">
        <v>0</v>
      </c>
      <c r="L30" s="9">
        <v>2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</row>
    <row r="31" spans="1:19" x14ac:dyDescent="0.3">
      <c r="A31" s="10">
        <v>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 t="s">
        <v>228</v>
      </c>
      <c r="M31" s="9">
        <v>1</v>
      </c>
      <c r="N31" s="9">
        <v>17</v>
      </c>
      <c r="O31" s="9">
        <v>12</v>
      </c>
      <c r="P31" s="9">
        <v>0</v>
      </c>
      <c r="Q31" s="9">
        <v>0</v>
      </c>
    </row>
    <row r="32" spans="1:19" x14ac:dyDescent="0.3">
      <c r="A32" s="4" t="s">
        <v>245</v>
      </c>
      <c r="B32" s="9">
        <v>0</v>
      </c>
      <c r="C32" s="9">
        <v>0</v>
      </c>
      <c r="D32" s="9">
        <v>1</v>
      </c>
      <c r="E32" s="9">
        <v>0</v>
      </c>
      <c r="F32" s="9">
        <v>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</row>
    <row r="33" spans="1:17" x14ac:dyDescent="0.3">
      <c r="A33" s="4">
        <v>200</v>
      </c>
      <c r="B33" s="9">
        <v>0</v>
      </c>
      <c r="C33" s="9">
        <v>0</v>
      </c>
      <c r="D33" s="9">
        <v>0</v>
      </c>
      <c r="E33" s="9">
        <v>0</v>
      </c>
      <c r="F33" s="9" t="s">
        <v>228</v>
      </c>
      <c r="G33" s="9">
        <v>1</v>
      </c>
      <c r="H33" s="9">
        <v>17</v>
      </c>
      <c r="I33" s="9">
        <v>13</v>
      </c>
      <c r="J33" s="9">
        <v>0</v>
      </c>
      <c r="K33" s="9">
        <v>0</v>
      </c>
      <c r="L33" s="9">
        <v>0</v>
      </c>
      <c r="M33" s="9">
        <v>0</v>
      </c>
      <c r="N33" s="9">
        <v>1</v>
      </c>
      <c r="O33" s="9">
        <v>0</v>
      </c>
      <c r="P33" s="9">
        <v>2</v>
      </c>
      <c r="Q33" s="9">
        <v>0</v>
      </c>
    </row>
    <row r="34" spans="1:17" x14ac:dyDescent="0.3">
      <c r="A34" s="4">
        <v>210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 t="s">
        <v>228</v>
      </c>
      <c r="Q34" s="9">
        <v>1</v>
      </c>
    </row>
    <row r="35" spans="1:17" x14ac:dyDescent="0.3">
      <c r="A35" s="4">
        <v>220</v>
      </c>
      <c r="B35" s="9">
        <v>17</v>
      </c>
      <c r="C35" s="9">
        <v>14</v>
      </c>
      <c r="D35" s="9">
        <v>0</v>
      </c>
      <c r="E35" s="9">
        <v>0</v>
      </c>
      <c r="F35" s="9">
        <v>0</v>
      </c>
      <c r="G35" s="9">
        <v>0</v>
      </c>
      <c r="H35" s="9">
        <v>1</v>
      </c>
      <c r="I35" s="9">
        <v>0</v>
      </c>
      <c r="J35" s="9">
        <v>2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</row>
    <row r="36" spans="1:17" x14ac:dyDescent="0.3">
      <c r="A36" s="4">
        <v>230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 t="s">
        <v>228</v>
      </c>
      <c r="K36" s="9">
        <v>1</v>
      </c>
      <c r="L36" s="9">
        <v>17</v>
      </c>
      <c r="M36" s="9">
        <v>15</v>
      </c>
      <c r="N36" s="9">
        <v>0</v>
      </c>
      <c r="O36" s="9">
        <v>0</v>
      </c>
      <c r="P36" s="9">
        <v>0</v>
      </c>
      <c r="Q36" s="9">
        <v>0</v>
      </c>
    </row>
    <row r="37" spans="1:17" x14ac:dyDescent="0.3">
      <c r="A37" s="4">
        <v>240</v>
      </c>
      <c r="B37" s="9">
        <v>1</v>
      </c>
      <c r="C37" s="9">
        <v>0</v>
      </c>
      <c r="D37" s="9">
        <v>2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</row>
    <row r="38" spans="1:17" x14ac:dyDescent="0.3">
      <c r="A38" s="4">
        <v>250</v>
      </c>
      <c r="B38" s="9">
        <v>0</v>
      </c>
      <c r="C38" s="9">
        <v>0</v>
      </c>
      <c r="D38" s="9" t="s">
        <v>228</v>
      </c>
      <c r="E38" s="9">
        <v>1</v>
      </c>
      <c r="F38" s="9">
        <v>17</v>
      </c>
      <c r="G38" s="9">
        <v>16</v>
      </c>
      <c r="H38" s="9">
        <v>0</v>
      </c>
      <c r="I38" s="9">
        <v>0</v>
      </c>
      <c r="J38" s="9">
        <v>0</v>
      </c>
      <c r="K38" s="9">
        <v>0</v>
      </c>
      <c r="L38" s="9">
        <v>1</v>
      </c>
      <c r="M38" s="9">
        <v>0</v>
      </c>
      <c r="N38" s="9">
        <v>2</v>
      </c>
      <c r="O38" s="9">
        <v>0</v>
      </c>
      <c r="P38" s="9">
        <v>0</v>
      </c>
      <c r="Q38" s="9">
        <v>0</v>
      </c>
    </row>
    <row r="39" spans="1:17" x14ac:dyDescent="0.3">
      <c r="A39" s="4">
        <v>260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 t="s">
        <v>228</v>
      </c>
      <c r="O39" s="9">
        <v>1</v>
      </c>
      <c r="P39" s="9">
        <v>17</v>
      </c>
      <c r="Q39" s="9">
        <v>17</v>
      </c>
    </row>
    <row r="40" spans="1:17" x14ac:dyDescent="0.3">
      <c r="A40" s="4">
        <v>270</v>
      </c>
      <c r="B40" s="9">
        <v>0</v>
      </c>
      <c r="C40" s="9">
        <v>0</v>
      </c>
      <c r="D40" s="9">
        <v>0</v>
      </c>
      <c r="E40" s="9">
        <v>0</v>
      </c>
      <c r="F40" s="9">
        <v>1</v>
      </c>
      <c r="G40" s="9">
        <v>0</v>
      </c>
      <c r="H40" s="9">
        <v>2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</row>
    <row r="41" spans="1:17" x14ac:dyDescent="0.3">
      <c r="A41" s="4">
        <v>280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 t="s">
        <v>228</v>
      </c>
      <c r="I41" s="9">
        <v>1</v>
      </c>
      <c r="J41" s="9">
        <v>17</v>
      </c>
      <c r="K41" s="9">
        <v>18</v>
      </c>
      <c r="L41" s="9">
        <v>0</v>
      </c>
      <c r="M41" s="9">
        <v>0</v>
      </c>
      <c r="N41" s="9">
        <v>0</v>
      </c>
      <c r="O41" s="9">
        <v>0</v>
      </c>
      <c r="P41" s="9">
        <v>1</v>
      </c>
      <c r="Q41" s="9">
        <v>0</v>
      </c>
    </row>
    <row r="42" spans="1:17" x14ac:dyDescent="0.3">
      <c r="A42" s="4">
        <v>290</v>
      </c>
      <c r="B42" s="9">
        <v>2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</row>
    <row r="43" spans="1:17" x14ac:dyDescent="0.3">
      <c r="A43" s="4" t="s">
        <v>246</v>
      </c>
      <c r="B43" s="9" t="s">
        <v>228</v>
      </c>
      <c r="C43" s="9">
        <v>1</v>
      </c>
      <c r="D43" s="9">
        <v>17</v>
      </c>
      <c r="E43" s="9">
        <v>19</v>
      </c>
      <c r="F43" s="9">
        <v>0</v>
      </c>
      <c r="G43" s="9">
        <v>0</v>
      </c>
      <c r="H43" s="9">
        <v>0</v>
      </c>
      <c r="I43" s="9">
        <v>0</v>
      </c>
      <c r="J43" s="9">
        <v>1</v>
      </c>
      <c r="K43" s="9">
        <v>0</v>
      </c>
      <c r="L43" s="9">
        <v>2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</row>
    <row r="44" spans="1:17" x14ac:dyDescent="0.3">
      <c r="A44" s="4" t="s">
        <v>247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 t="s">
        <v>228</v>
      </c>
      <c r="M44" s="9">
        <v>1</v>
      </c>
      <c r="N44" s="9">
        <v>17</v>
      </c>
      <c r="O44" s="9" t="s">
        <v>248</v>
      </c>
      <c r="P44" s="9">
        <v>0</v>
      </c>
      <c r="Q44" s="9">
        <v>0</v>
      </c>
    </row>
    <row r="45" spans="1:17" x14ac:dyDescent="0.3">
      <c r="A45" s="4" t="s">
        <v>249</v>
      </c>
      <c r="B45" s="9">
        <v>0</v>
      </c>
      <c r="C45" s="9">
        <v>0</v>
      </c>
      <c r="D45" s="9">
        <v>1</v>
      </c>
      <c r="E45" s="9">
        <v>0</v>
      </c>
      <c r="F45" s="9">
        <v>2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</row>
    <row r="46" spans="1:17" x14ac:dyDescent="0.3">
      <c r="A46" s="4" t="s">
        <v>250</v>
      </c>
      <c r="B46" s="9">
        <v>0</v>
      </c>
      <c r="C46" s="9">
        <v>0</v>
      </c>
      <c r="D46" s="9">
        <v>0</v>
      </c>
      <c r="E46" s="9">
        <v>0</v>
      </c>
      <c r="F46" s="9" t="s">
        <v>228</v>
      </c>
      <c r="G46" s="9">
        <v>1</v>
      </c>
      <c r="H46" s="9">
        <v>17</v>
      </c>
      <c r="I46" s="9" t="s">
        <v>251</v>
      </c>
      <c r="J46" s="9">
        <v>0</v>
      </c>
      <c r="K46" s="9">
        <v>0</v>
      </c>
      <c r="L46" s="9">
        <v>0</v>
      </c>
      <c r="M46" s="9">
        <v>0</v>
      </c>
      <c r="N46" s="9">
        <v>1</v>
      </c>
      <c r="O46" s="9">
        <v>0</v>
      </c>
      <c r="P46" s="9">
        <v>2</v>
      </c>
      <c r="Q46" s="9">
        <v>0</v>
      </c>
    </row>
    <row r="47" spans="1:17" x14ac:dyDescent="0.3">
      <c r="A47" s="10">
        <v>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 t="s">
        <v>228</v>
      </c>
      <c r="Q47" s="9">
        <v>1</v>
      </c>
    </row>
    <row r="48" spans="1:17" x14ac:dyDescent="0.3">
      <c r="A48" s="4" t="s">
        <v>252</v>
      </c>
      <c r="B48" s="9">
        <v>17</v>
      </c>
      <c r="C48" s="9" t="s">
        <v>253</v>
      </c>
      <c r="D48" s="9">
        <v>0</v>
      </c>
      <c r="E48" s="9">
        <v>0</v>
      </c>
      <c r="F48" s="9">
        <v>0</v>
      </c>
      <c r="G48" s="9">
        <v>0</v>
      </c>
      <c r="H48" s="9">
        <v>1</v>
      </c>
      <c r="I48" s="9">
        <v>0</v>
      </c>
      <c r="J48" s="9">
        <v>2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</row>
    <row r="49" spans="1:19" x14ac:dyDescent="0.3">
      <c r="A49" s="4">
        <v>300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 t="s">
        <v>228</v>
      </c>
      <c r="K49" s="9">
        <v>1</v>
      </c>
      <c r="L49" s="9">
        <v>17</v>
      </c>
      <c r="M49" s="9" t="s">
        <v>254</v>
      </c>
      <c r="N49" s="9">
        <v>0</v>
      </c>
      <c r="O49" s="9">
        <v>0</v>
      </c>
      <c r="P49" s="9">
        <v>0</v>
      </c>
      <c r="Q49" s="9">
        <v>0</v>
      </c>
    </row>
    <row r="50" spans="1:19" x14ac:dyDescent="0.3">
      <c r="A50" s="4">
        <v>310</v>
      </c>
      <c r="B50" s="9">
        <v>1</v>
      </c>
      <c r="C50" s="9">
        <v>0</v>
      </c>
      <c r="D50" s="9">
        <v>2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</row>
    <row r="51" spans="1:19" x14ac:dyDescent="0.3">
      <c r="A51" s="4">
        <v>320</v>
      </c>
      <c r="B51" s="9">
        <v>0</v>
      </c>
      <c r="C51" s="9">
        <v>0</v>
      </c>
      <c r="D51" s="9" t="s">
        <v>228</v>
      </c>
      <c r="E51" s="9">
        <v>1</v>
      </c>
      <c r="F51" s="9">
        <v>17</v>
      </c>
      <c r="G51" s="9" t="s">
        <v>255</v>
      </c>
      <c r="H51" s="9">
        <v>0</v>
      </c>
      <c r="I51" s="9">
        <v>0</v>
      </c>
      <c r="J51" s="9">
        <v>0</v>
      </c>
      <c r="K51" s="9">
        <v>0</v>
      </c>
      <c r="L51" s="9">
        <v>1</v>
      </c>
      <c r="M51" s="9">
        <v>0</v>
      </c>
      <c r="N51" s="9">
        <v>2</v>
      </c>
      <c r="O51" s="9">
        <v>0</v>
      </c>
      <c r="P51" s="9">
        <v>0</v>
      </c>
      <c r="Q51" s="9">
        <v>0</v>
      </c>
    </row>
    <row r="52" spans="1:19" x14ac:dyDescent="0.3">
      <c r="A52" s="4">
        <v>330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 t="s">
        <v>228</v>
      </c>
      <c r="O52" s="9">
        <v>1</v>
      </c>
      <c r="P52" s="9">
        <v>17</v>
      </c>
      <c r="Q52" s="9" t="s">
        <v>256</v>
      </c>
    </row>
    <row r="53" spans="1:19" x14ac:dyDescent="0.3">
      <c r="A53" s="4">
        <v>340</v>
      </c>
      <c r="B53" s="9">
        <v>0</v>
      </c>
      <c r="C53" s="9">
        <v>0</v>
      </c>
      <c r="D53" s="9">
        <v>0</v>
      </c>
      <c r="E53" s="9">
        <v>0</v>
      </c>
      <c r="F53" s="9">
        <v>1</v>
      </c>
      <c r="G53" s="9">
        <v>0</v>
      </c>
      <c r="H53" s="9">
        <v>2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</row>
    <row r="54" spans="1:19" x14ac:dyDescent="0.3">
      <c r="A54" s="4">
        <v>350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15" t="s">
        <v>228</v>
      </c>
      <c r="I54" s="15">
        <v>2</v>
      </c>
      <c r="J54" s="15">
        <v>20</v>
      </c>
      <c r="K54" s="25">
        <v>45</v>
      </c>
      <c r="L54" s="25" t="s">
        <v>257</v>
      </c>
      <c r="M54" s="25">
        <v>50</v>
      </c>
      <c r="N54" s="25">
        <v>54</v>
      </c>
      <c r="O54" s="25">
        <v>59</v>
      </c>
      <c r="P54" s="9">
        <v>20</v>
      </c>
      <c r="Q54" s="9">
        <v>20</v>
      </c>
      <c r="S54" t="s">
        <v>271</v>
      </c>
    </row>
    <row r="55" spans="1:19" x14ac:dyDescent="0.3">
      <c r="A55" s="4">
        <v>360</v>
      </c>
      <c r="B55" s="9">
        <v>20</v>
      </c>
      <c r="C55" s="9">
        <v>20</v>
      </c>
      <c r="D55" s="9">
        <v>20</v>
      </c>
      <c r="E55" s="9">
        <v>20</v>
      </c>
      <c r="F55" s="9">
        <v>20</v>
      </c>
      <c r="G55" s="9">
        <v>20</v>
      </c>
      <c r="H55" s="9">
        <v>20</v>
      </c>
      <c r="I55" s="9">
        <v>20</v>
      </c>
      <c r="J55" s="9">
        <v>20</v>
      </c>
      <c r="K55" s="9">
        <v>20</v>
      </c>
      <c r="L55" s="9">
        <v>20</v>
      </c>
      <c r="M55" s="9">
        <v>20</v>
      </c>
      <c r="N55" s="9">
        <v>20</v>
      </c>
      <c r="O55" s="9">
        <v>20</v>
      </c>
      <c r="P55" s="9">
        <v>20</v>
      </c>
      <c r="Q55" s="9">
        <v>20</v>
      </c>
    </row>
    <row r="56" spans="1:19" x14ac:dyDescent="0.3">
      <c r="A56" s="4">
        <v>370</v>
      </c>
      <c r="B56" s="9">
        <v>20</v>
      </c>
      <c r="C56" s="9">
        <v>20</v>
      </c>
      <c r="D56" s="9">
        <v>20</v>
      </c>
      <c r="E56" s="9">
        <v>20</v>
      </c>
      <c r="F56" s="9">
        <v>20</v>
      </c>
      <c r="G56" s="9">
        <v>20</v>
      </c>
      <c r="H56" s="9">
        <v>20</v>
      </c>
      <c r="I56" s="9">
        <v>20</v>
      </c>
      <c r="J56" s="9">
        <v>20</v>
      </c>
      <c r="K56" s="15" t="s">
        <v>228</v>
      </c>
      <c r="L56" s="15">
        <v>3</v>
      </c>
      <c r="M56" s="15">
        <v>20</v>
      </c>
      <c r="N56" s="9">
        <v>20</v>
      </c>
      <c r="O56" s="9">
        <v>20</v>
      </c>
      <c r="P56" s="9">
        <v>20</v>
      </c>
      <c r="Q56" s="9">
        <v>20</v>
      </c>
    </row>
    <row r="57" spans="1:19" x14ac:dyDescent="0.3">
      <c r="A57" s="4">
        <v>380</v>
      </c>
      <c r="B57" s="9">
        <v>20</v>
      </c>
      <c r="C57" s="9">
        <v>20</v>
      </c>
      <c r="D57" s="9">
        <v>20</v>
      </c>
      <c r="E57" s="9">
        <v>20</v>
      </c>
      <c r="F57" s="9">
        <v>20</v>
      </c>
      <c r="G57" s="9">
        <v>20</v>
      </c>
      <c r="H57" s="9">
        <v>20</v>
      </c>
      <c r="I57" s="9">
        <v>20</v>
      </c>
      <c r="J57" s="9">
        <v>20</v>
      </c>
      <c r="K57" s="9">
        <v>20</v>
      </c>
      <c r="L57" s="9">
        <v>20</v>
      </c>
      <c r="M57" s="9">
        <v>20</v>
      </c>
      <c r="N57" s="9">
        <v>20</v>
      </c>
      <c r="O57" s="9">
        <v>20</v>
      </c>
      <c r="P57" s="9">
        <v>20</v>
      </c>
      <c r="Q57" s="9">
        <v>20</v>
      </c>
    </row>
    <row r="58" spans="1:19" x14ac:dyDescent="0.3">
      <c r="A58" s="4">
        <v>390</v>
      </c>
      <c r="B58" s="9">
        <v>20</v>
      </c>
      <c r="C58" s="9">
        <v>20</v>
      </c>
      <c r="D58" s="9">
        <v>20</v>
      </c>
      <c r="E58" s="9">
        <v>20</v>
      </c>
      <c r="F58" s="9">
        <v>20</v>
      </c>
      <c r="G58" s="9">
        <v>20</v>
      </c>
      <c r="H58" s="9">
        <v>20</v>
      </c>
      <c r="I58" s="9">
        <v>20</v>
      </c>
      <c r="J58" s="9">
        <v>20</v>
      </c>
      <c r="K58" s="9">
        <v>20</v>
      </c>
      <c r="L58" s="9">
        <v>20</v>
      </c>
      <c r="M58" s="9">
        <v>20</v>
      </c>
      <c r="N58" s="15" t="s">
        <v>228</v>
      </c>
      <c r="O58" s="15">
        <v>4</v>
      </c>
      <c r="P58" s="15">
        <v>20</v>
      </c>
      <c r="Q58" s="9">
        <v>23</v>
      </c>
      <c r="S58" t="s">
        <v>272</v>
      </c>
    </row>
    <row r="59" spans="1:19" x14ac:dyDescent="0.3">
      <c r="A59" s="4" t="s">
        <v>258</v>
      </c>
      <c r="B59" s="9">
        <v>23</v>
      </c>
      <c r="C59" s="9">
        <v>20</v>
      </c>
      <c r="D59" s="9">
        <v>20</v>
      </c>
      <c r="E59" s="9">
        <v>20</v>
      </c>
      <c r="F59" s="9">
        <v>20</v>
      </c>
      <c r="G59" s="9">
        <v>20</v>
      </c>
      <c r="H59" s="9">
        <v>20</v>
      </c>
      <c r="I59" s="9">
        <v>20</v>
      </c>
      <c r="J59" s="9">
        <v>20</v>
      </c>
      <c r="K59" s="9">
        <v>20</v>
      </c>
      <c r="L59" s="9">
        <v>20</v>
      </c>
      <c r="M59" s="9">
        <v>20</v>
      </c>
      <c r="N59" s="9">
        <v>20</v>
      </c>
      <c r="O59" s="9">
        <v>20</v>
      </c>
      <c r="P59" s="9">
        <v>20</v>
      </c>
      <c r="Q59" s="9">
        <v>20</v>
      </c>
    </row>
    <row r="60" spans="1:19" x14ac:dyDescent="0.3">
      <c r="A60" s="4" t="s">
        <v>259</v>
      </c>
      <c r="B60" s="9">
        <v>20</v>
      </c>
      <c r="C60" s="9">
        <v>20</v>
      </c>
      <c r="D60" s="9">
        <v>20</v>
      </c>
      <c r="E60" s="9">
        <v>20</v>
      </c>
      <c r="F60" s="9">
        <v>20</v>
      </c>
      <c r="G60" s="9">
        <v>20</v>
      </c>
      <c r="H60" s="9">
        <v>20</v>
      </c>
      <c r="I60" s="9">
        <v>20</v>
      </c>
      <c r="J60" s="9">
        <v>20</v>
      </c>
      <c r="K60" s="9">
        <v>20</v>
      </c>
      <c r="L60" s="9">
        <v>20</v>
      </c>
      <c r="M60" s="9">
        <v>20</v>
      </c>
      <c r="N60" s="9">
        <v>20</v>
      </c>
      <c r="O60" s="9">
        <v>20</v>
      </c>
      <c r="P60" s="9">
        <v>20</v>
      </c>
      <c r="Q60" s="15" t="s">
        <v>228</v>
      </c>
    </row>
    <row r="61" spans="1:19" x14ac:dyDescent="0.3">
      <c r="A61" s="4" t="s">
        <v>260</v>
      </c>
      <c r="B61" s="15">
        <v>5</v>
      </c>
      <c r="C61" s="15">
        <v>20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7</v>
      </c>
      <c r="M61" s="9">
        <v>7</v>
      </c>
      <c r="N61" s="9">
        <v>7</v>
      </c>
      <c r="O61" s="9">
        <v>0</v>
      </c>
      <c r="P61" s="9">
        <v>0</v>
      </c>
      <c r="Q61" s="9">
        <v>0</v>
      </c>
    </row>
    <row r="62" spans="1:19" x14ac:dyDescent="0.3">
      <c r="A62" s="4" t="s">
        <v>261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</row>
    <row r="63" spans="1:19" x14ac:dyDescent="0.3">
      <c r="A63" s="10">
        <v>3</v>
      </c>
      <c r="B63" s="9">
        <v>0</v>
      </c>
      <c r="C63" s="15" t="s">
        <v>228</v>
      </c>
      <c r="D63" s="15">
        <v>6</v>
      </c>
      <c r="E63" s="15">
        <v>20</v>
      </c>
      <c r="F63" s="9">
        <v>20</v>
      </c>
      <c r="G63" s="9">
        <v>20</v>
      </c>
      <c r="H63" s="9">
        <v>20</v>
      </c>
      <c r="I63" s="9">
        <v>20</v>
      </c>
      <c r="J63" s="9">
        <v>20</v>
      </c>
      <c r="K63" s="9">
        <v>20</v>
      </c>
      <c r="L63" s="9">
        <v>20</v>
      </c>
      <c r="M63" s="9">
        <v>20</v>
      </c>
      <c r="N63" s="9">
        <v>20</v>
      </c>
      <c r="O63" s="9">
        <v>20</v>
      </c>
      <c r="P63" s="9">
        <v>20</v>
      </c>
      <c r="Q63" s="9">
        <v>20</v>
      </c>
    </row>
    <row r="64" spans="1:19" ht="15" thickBot="1" x14ac:dyDescent="0.35">
      <c r="A64" s="4" t="s">
        <v>262</v>
      </c>
      <c r="B64" s="9">
        <v>20</v>
      </c>
      <c r="C64" s="9">
        <v>20</v>
      </c>
      <c r="D64" s="9">
        <v>20</v>
      </c>
      <c r="E64" s="9">
        <v>20</v>
      </c>
      <c r="F64" s="9">
        <v>20</v>
      </c>
      <c r="G64" s="9">
        <v>20</v>
      </c>
      <c r="H64" s="9">
        <v>20</v>
      </c>
      <c r="I64" s="9">
        <v>20</v>
      </c>
      <c r="J64" s="9">
        <v>20</v>
      </c>
      <c r="K64" s="9">
        <v>20</v>
      </c>
      <c r="L64" s="9">
        <v>20</v>
      </c>
      <c r="M64" s="9">
        <v>20</v>
      </c>
      <c r="N64" s="9">
        <v>20</v>
      </c>
      <c r="O64" s="9">
        <v>20</v>
      </c>
      <c r="P64" s="9">
        <v>20</v>
      </c>
      <c r="Q64" s="9">
        <v>20</v>
      </c>
    </row>
    <row r="65" spans="1:19" ht="15" thickBot="1" x14ac:dyDescent="0.35">
      <c r="A65" s="4">
        <v>400</v>
      </c>
      <c r="B65" s="9">
        <v>20</v>
      </c>
      <c r="C65" s="9">
        <v>20</v>
      </c>
      <c r="D65" s="9">
        <v>20</v>
      </c>
      <c r="E65" s="9">
        <v>20</v>
      </c>
      <c r="F65" s="26">
        <v>23</v>
      </c>
      <c r="G65" s="9" t="s">
        <v>263</v>
      </c>
      <c r="S6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theory</vt:lpstr>
      <vt:lpstr>practice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Widner</dc:creator>
  <cp:lastModifiedBy>Michael Widner</cp:lastModifiedBy>
  <dcterms:created xsi:type="dcterms:W3CDTF">2026-02-01T18:05:56Z</dcterms:created>
  <dcterms:modified xsi:type="dcterms:W3CDTF">2026-02-10T04:05:33Z</dcterms:modified>
</cp:coreProperties>
</file>